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ustom.xml" ContentType="application/vnd.openxmlformats-officedocument.custom-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D:\OneDrive\darbo\microdata\HH disaggregation\"/>
    </mc:Choice>
  </mc:AlternateContent>
  <bookViews>
    <workbookView xWindow="0" yWindow="0" windowWidth="23040" windowHeight="7848" firstSheet="1" activeTab="8"/>
  </bookViews>
  <sheets>
    <sheet name="data" sheetId="5" r:id="rId1"/>
    <sheet name="main" sheetId="1" r:id="rId2"/>
    <sheet name="RAS_procedure" sheetId="8" r:id="rId3"/>
    <sheet name="Final" sheetId="11" r:id="rId4"/>
    <sheet name="Sheet3" sheetId="3" r:id="rId5"/>
    <sheet name="Converter - CPA to COICOP" sheetId="4" r:id="rId6"/>
    <sheet name="Report" sheetId="7" r:id="rId7"/>
    <sheet name="Sectors" sheetId="9" r:id="rId8"/>
    <sheet name="BillionEURNEWAGE" sheetId="10" r:id="rId9"/>
  </sheets>
  <externalReferences>
    <externalReference r:id="rId10"/>
  </externalReferences>
  <definedNames>
    <definedName name="_xlnm._FilterDatabase" localSheetId="8" hidden="1">BillionEURNEWAGE!$A$3:$E$1115</definedName>
    <definedName name="colcor">RAS_procedure!$C$80:$M$97</definedName>
    <definedName name="corner">RAS_procedure!$C$54</definedName>
    <definedName name="iterations">RAS_procedure!$U$28</definedName>
    <definedName name="rowcor">RAS_procedure!$R$80:$AB$97</definedName>
    <definedName name="starting">RAS_procedure!$U$29</definedName>
    <definedName name="tableselection">RAS_procedure!$M$54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3" i="11" l="1"/>
  <c r="D33" i="11"/>
  <c r="E33" i="11"/>
  <c r="F33" i="11"/>
  <c r="G33" i="11"/>
  <c r="H33" i="11"/>
  <c r="I33" i="11"/>
  <c r="J33" i="11"/>
  <c r="K33" i="11"/>
  <c r="L33" i="11"/>
  <c r="C34" i="11"/>
  <c r="D34" i="11"/>
  <c r="E34" i="11"/>
  <c r="F34" i="11"/>
  <c r="G34" i="11"/>
  <c r="H34" i="11"/>
  <c r="I34" i="11"/>
  <c r="J34" i="11"/>
  <c r="K34" i="11"/>
  <c r="L34" i="11"/>
  <c r="C35" i="11"/>
  <c r="D35" i="11"/>
  <c r="E35" i="11"/>
  <c r="F35" i="11"/>
  <c r="G35" i="11"/>
  <c r="H35" i="11"/>
  <c r="I35" i="11"/>
  <c r="J35" i="11"/>
  <c r="K35" i="11"/>
  <c r="L35" i="11"/>
  <c r="C36" i="11"/>
  <c r="D36" i="11"/>
  <c r="E36" i="11"/>
  <c r="F36" i="11"/>
  <c r="G36" i="11"/>
  <c r="H36" i="11"/>
  <c r="I36" i="11"/>
  <c r="J36" i="11"/>
  <c r="K36" i="11"/>
  <c r="L36" i="11"/>
  <c r="C37" i="11"/>
  <c r="D37" i="11"/>
  <c r="E37" i="11"/>
  <c r="F37" i="11"/>
  <c r="G37" i="11"/>
  <c r="H37" i="11"/>
  <c r="I37" i="11"/>
  <c r="J37" i="11"/>
  <c r="K37" i="11"/>
  <c r="L37" i="11"/>
  <c r="C38" i="11"/>
  <c r="D38" i="11"/>
  <c r="E38" i="11"/>
  <c r="F38" i="11"/>
  <c r="G38" i="11"/>
  <c r="H38" i="11"/>
  <c r="I38" i="11"/>
  <c r="J38" i="11"/>
  <c r="K38" i="11"/>
  <c r="L38" i="11"/>
  <c r="C39" i="11"/>
  <c r="D39" i="11"/>
  <c r="E39" i="11"/>
  <c r="F39" i="11"/>
  <c r="G39" i="11"/>
  <c r="H39" i="11"/>
  <c r="I39" i="11"/>
  <c r="J39" i="11"/>
  <c r="K39" i="11"/>
  <c r="L39" i="11"/>
  <c r="C40" i="11"/>
  <c r="D40" i="11"/>
  <c r="E40" i="11"/>
  <c r="F40" i="11"/>
  <c r="G40" i="11"/>
  <c r="H40" i="11"/>
  <c r="I40" i="11"/>
  <c r="J40" i="11"/>
  <c r="K40" i="11"/>
  <c r="L40" i="11"/>
  <c r="C41" i="11"/>
  <c r="D41" i="11"/>
  <c r="E41" i="11"/>
  <c r="F41" i="11"/>
  <c r="G41" i="11"/>
  <c r="H41" i="11"/>
  <c r="I41" i="11"/>
  <c r="J41" i="11"/>
  <c r="K41" i="11"/>
  <c r="L41" i="11"/>
  <c r="C42" i="11"/>
  <c r="D42" i="11"/>
  <c r="E42" i="11"/>
  <c r="F42" i="11"/>
  <c r="G42" i="11"/>
  <c r="H42" i="11"/>
  <c r="I42" i="11"/>
  <c r="J42" i="11"/>
  <c r="K42" i="11"/>
  <c r="L42" i="11"/>
  <c r="C43" i="11"/>
  <c r="D43" i="11"/>
  <c r="E43" i="11"/>
  <c r="F43" i="11"/>
  <c r="G43" i="11"/>
  <c r="H43" i="11"/>
  <c r="I43" i="11"/>
  <c r="J43" i="11"/>
  <c r="K43" i="11"/>
  <c r="L43" i="11"/>
  <c r="C44" i="11"/>
  <c r="D44" i="11"/>
  <c r="E44" i="11"/>
  <c r="F44" i="11"/>
  <c r="G44" i="11"/>
  <c r="H44" i="11"/>
  <c r="I44" i="11"/>
  <c r="J44" i="11"/>
  <c r="K44" i="11"/>
  <c r="L44" i="11"/>
  <c r="C45" i="11"/>
  <c r="D45" i="11"/>
  <c r="E45" i="11"/>
  <c r="F45" i="11"/>
  <c r="G45" i="11"/>
  <c r="H45" i="11"/>
  <c r="I45" i="11"/>
  <c r="J45" i="11"/>
  <c r="K45" i="11"/>
  <c r="L45" i="11"/>
  <c r="C46" i="11"/>
  <c r="D46" i="11"/>
  <c r="E46" i="11"/>
  <c r="F46" i="11"/>
  <c r="G46" i="11"/>
  <c r="H46" i="11"/>
  <c r="I46" i="11"/>
  <c r="J46" i="11"/>
  <c r="K46" i="11"/>
  <c r="L46" i="11"/>
  <c r="C47" i="11"/>
  <c r="D47" i="11"/>
  <c r="E47" i="11"/>
  <c r="F47" i="11"/>
  <c r="G47" i="11"/>
  <c r="H47" i="11"/>
  <c r="I47" i="11"/>
  <c r="J47" i="11"/>
  <c r="K47" i="11"/>
  <c r="L47" i="11"/>
  <c r="C48" i="11"/>
  <c r="D48" i="11"/>
  <c r="E48" i="11"/>
  <c r="F48" i="11"/>
  <c r="G48" i="11"/>
  <c r="H48" i="11"/>
  <c r="I48" i="11"/>
  <c r="J48" i="11"/>
  <c r="K48" i="11"/>
  <c r="L48" i="11"/>
  <c r="C49" i="11"/>
  <c r="D49" i="11"/>
  <c r="E49" i="11"/>
  <c r="F49" i="11"/>
  <c r="G49" i="11"/>
  <c r="H49" i="11"/>
  <c r="I49" i="11"/>
  <c r="J49" i="11"/>
  <c r="K49" i="11"/>
  <c r="L49" i="11"/>
  <c r="D32" i="11"/>
  <c r="E32" i="11"/>
  <c r="F32" i="11"/>
  <c r="G32" i="11"/>
  <c r="H32" i="11"/>
  <c r="I32" i="11"/>
  <c r="J32" i="11"/>
  <c r="K32" i="11"/>
  <c r="L32" i="11"/>
  <c r="C32" i="11"/>
  <c r="B23" i="11"/>
  <c r="M22" i="11"/>
  <c r="B22" i="11"/>
  <c r="M21" i="11"/>
  <c r="B21" i="11"/>
  <c r="M20" i="11"/>
  <c r="B20" i="11"/>
  <c r="M19" i="11"/>
  <c r="B19" i="11"/>
  <c r="M18" i="11"/>
  <c r="B18" i="11"/>
  <c r="M17" i="11"/>
  <c r="B17" i="11"/>
  <c r="M16" i="11"/>
  <c r="B16" i="11"/>
  <c r="M15" i="11"/>
  <c r="B15" i="11"/>
  <c r="M14" i="11"/>
  <c r="B14" i="11"/>
  <c r="M13" i="11"/>
  <c r="B13" i="11"/>
  <c r="M12" i="11"/>
  <c r="B12" i="11"/>
  <c r="M11" i="11"/>
  <c r="B11" i="11"/>
  <c r="M10" i="11"/>
  <c r="B10" i="11"/>
  <c r="M9" i="11"/>
  <c r="B9" i="11"/>
  <c r="M8" i="11"/>
  <c r="B8" i="11"/>
  <c r="M7" i="11"/>
  <c r="B7" i="11"/>
  <c r="M6" i="11"/>
  <c r="B6" i="11"/>
  <c r="M5" i="11"/>
  <c r="B5" i="11"/>
  <c r="O4" i="11"/>
  <c r="N4" i="11"/>
  <c r="M4" i="11"/>
  <c r="L4" i="11"/>
  <c r="K4" i="11"/>
  <c r="J4" i="11"/>
  <c r="I4" i="11"/>
  <c r="H4" i="11"/>
  <c r="G4" i="11"/>
  <c r="F4" i="11"/>
  <c r="E4" i="11"/>
  <c r="D4" i="11"/>
  <c r="C4" i="11"/>
  <c r="B2" i="11"/>
  <c r="M30" i="8"/>
  <c r="C30" i="8"/>
  <c r="C6" i="11"/>
  <c r="M31" i="8"/>
  <c r="E31" i="8"/>
  <c r="E7" i="11"/>
  <c r="M32" i="8"/>
  <c r="M33" i="8"/>
  <c r="M34" i="8"/>
  <c r="M35" i="8"/>
  <c r="H35" i="8"/>
  <c r="H11" i="11"/>
  <c r="M36" i="8"/>
  <c r="M37" i="8"/>
  <c r="H37" i="8"/>
  <c r="H13" i="11"/>
  <c r="M38" i="8"/>
  <c r="M39" i="8"/>
  <c r="M40" i="8"/>
  <c r="M41" i="8"/>
  <c r="M42" i="8"/>
  <c r="M43" i="8"/>
  <c r="M44" i="8"/>
  <c r="M45" i="8"/>
  <c r="C45" i="8"/>
  <c r="C21" i="11"/>
  <c r="M46" i="8"/>
  <c r="J7" i="1"/>
  <c r="F36" i="8"/>
  <c r="F12" i="11"/>
  <c r="D30" i="8"/>
  <c r="D6" i="11"/>
  <c r="F30" i="8"/>
  <c r="F6" i="11"/>
  <c r="G30" i="8"/>
  <c r="G6" i="11"/>
  <c r="H30" i="8"/>
  <c r="H6" i="11"/>
  <c r="I30" i="8"/>
  <c r="I6" i="11"/>
  <c r="J30" i="8"/>
  <c r="J6" i="11"/>
  <c r="K30" i="8"/>
  <c r="K6" i="11"/>
  <c r="L30" i="8"/>
  <c r="L6" i="11"/>
  <c r="D31" i="8"/>
  <c r="D7" i="11"/>
  <c r="F31" i="8"/>
  <c r="F7" i="11"/>
  <c r="J31" i="8"/>
  <c r="J7" i="11"/>
  <c r="L31" i="8"/>
  <c r="L7" i="11"/>
  <c r="C32" i="8"/>
  <c r="C8" i="11"/>
  <c r="D32" i="8"/>
  <c r="D8" i="11"/>
  <c r="E32" i="8"/>
  <c r="E8" i="11"/>
  <c r="F32" i="8"/>
  <c r="F8" i="11"/>
  <c r="G32" i="8"/>
  <c r="G8" i="11"/>
  <c r="H32" i="8"/>
  <c r="H8" i="11"/>
  <c r="I32" i="8"/>
  <c r="I8" i="11"/>
  <c r="J32" i="8"/>
  <c r="J8" i="11"/>
  <c r="K32" i="8"/>
  <c r="K8" i="11"/>
  <c r="L32" i="8"/>
  <c r="L8" i="11"/>
  <c r="C33" i="8"/>
  <c r="C9" i="11"/>
  <c r="D33" i="8"/>
  <c r="D9" i="11"/>
  <c r="E33" i="8"/>
  <c r="E9" i="11"/>
  <c r="F33" i="8"/>
  <c r="F9" i="11"/>
  <c r="G33" i="8"/>
  <c r="G9" i="11"/>
  <c r="H33" i="8"/>
  <c r="H9" i="11"/>
  <c r="I33" i="8"/>
  <c r="I9" i="11"/>
  <c r="J33" i="8"/>
  <c r="J9" i="11"/>
  <c r="K33" i="8"/>
  <c r="K9" i="11"/>
  <c r="L33" i="8"/>
  <c r="L9" i="11"/>
  <c r="C34" i="8"/>
  <c r="C10" i="11"/>
  <c r="D34" i="8"/>
  <c r="D10" i="11"/>
  <c r="E34" i="8"/>
  <c r="E10" i="11"/>
  <c r="F34" i="8"/>
  <c r="F10" i="11"/>
  <c r="G34" i="8"/>
  <c r="G10" i="11"/>
  <c r="H34" i="8"/>
  <c r="H10" i="11"/>
  <c r="I34" i="8"/>
  <c r="I10" i="11"/>
  <c r="J34" i="8"/>
  <c r="J10" i="11"/>
  <c r="K34" i="8"/>
  <c r="K10" i="11"/>
  <c r="L34" i="8"/>
  <c r="L10" i="11"/>
  <c r="D35" i="8"/>
  <c r="D11" i="11"/>
  <c r="E35" i="8"/>
  <c r="E11" i="11"/>
  <c r="F35" i="8"/>
  <c r="F11" i="11"/>
  <c r="G35" i="8"/>
  <c r="G11" i="11"/>
  <c r="J35" i="8"/>
  <c r="J11" i="11"/>
  <c r="L35" i="8"/>
  <c r="L11" i="11"/>
  <c r="C36" i="8"/>
  <c r="C12" i="11"/>
  <c r="D36" i="8"/>
  <c r="D12" i="11"/>
  <c r="E36" i="8"/>
  <c r="E12" i="11"/>
  <c r="H36" i="8"/>
  <c r="H12" i="11"/>
  <c r="J36" i="8"/>
  <c r="J12" i="11"/>
  <c r="K36" i="8"/>
  <c r="K12" i="11"/>
  <c r="L36" i="8"/>
  <c r="L12" i="11"/>
  <c r="F37" i="8"/>
  <c r="F13" i="11"/>
  <c r="C38" i="8"/>
  <c r="D38" i="8"/>
  <c r="E38" i="8"/>
  <c r="F38" i="8"/>
  <c r="G38" i="8"/>
  <c r="H38" i="8"/>
  <c r="I38" i="8"/>
  <c r="J38" i="8"/>
  <c r="K38" i="8"/>
  <c r="L38" i="8"/>
  <c r="C39" i="8"/>
  <c r="C15" i="11"/>
  <c r="D39" i="8"/>
  <c r="D15" i="11"/>
  <c r="E39" i="8"/>
  <c r="E15" i="11"/>
  <c r="F39" i="8"/>
  <c r="F15" i="11"/>
  <c r="G39" i="8"/>
  <c r="G15" i="11"/>
  <c r="H39" i="8"/>
  <c r="H15" i="11"/>
  <c r="I39" i="8"/>
  <c r="I15" i="11"/>
  <c r="J39" i="8"/>
  <c r="J15" i="11"/>
  <c r="K39" i="8"/>
  <c r="K15" i="11"/>
  <c r="L39" i="8"/>
  <c r="L15" i="11"/>
  <c r="C40" i="8"/>
  <c r="C16" i="11"/>
  <c r="D40" i="8"/>
  <c r="D16" i="11"/>
  <c r="E40" i="8"/>
  <c r="E16" i="11"/>
  <c r="F40" i="8"/>
  <c r="F16" i="11"/>
  <c r="G40" i="8"/>
  <c r="G16" i="11"/>
  <c r="H40" i="8"/>
  <c r="H16" i="11"/>
  <c r="I40" i="8"/>
  <c r="I16" i="11"/>
  <c r="J40" i="8"/>
  <c r="J16" i="11"/>
  <c r="K40" i="8"/>
  <c r="K16" i="11"/>
  <c r="L40" i="8"/>
  <c r="L16" i="11"/>
  <c r="C41" i="8"/>
  <c r="C17" i="11"/>
  <c r="D41" i="8"/>
  <c r="D17" i="11"/>
  <c r="E41" i="8"/>
  <c r="E17" i="11"/>
  <c r="F41" i="8"/>
  <c r="F17" i="11"/>
  <c r="G41" i="8"/>
  <c r="G17" i="11"/>
  <c r="H41" i="8"/>
  <c r="H17" i="11"/>
  <c r="I41" i="8"/>
  <c r="I17" i="11"/>
  <c r="J41" i="8"/>
  <c r="J17" i="11"/>
  <c r="K41" i="8"/>
  <c r="K17" i="11"/>
  <c r="L41" i="8"/>
  <c r="L17" i="11"/>
  <c r="C42" i="8"/>
  <c r="C18" i="11"/>
  <c r="D42" i="8"/>
  <c r="D18" i="11"/>
  <c r="E42" i="8"/>
  <c r="E18" i="11"/>
  <c r="F42" i="8"/>
  <c r="F18" i="11"/>
  <c r="G42" i="8"/>
  <c r="G18" i="11"/>
  <c r="H42" i="8"/>
  <c r="H18" i="11"/>
  <c r="I42" i="8"/>
  <c r="I18" i="11"/>
  <c r="J42" i="8"/>
  <c r="J18" i="11"/>
  <c r="K42" i="8"/>
  <c r="K18" i="11"/>
  <c r="L42" i="8"/>
  <c r="L18" i="11"/>
  <c r="C43" i="8"/>
  <c r="C19" i="11"/>
  <c r="D43" i="8"/>
  <c r="D19" i="11"/>
  <c r="E43" i="8"/>
  <c r="E19" i="11"/>
  <c r="F43" i="8"/>
  <c r="F19" i="11"/>
  <c r="G43" i="8"/>
  <c r="G19" i="11"/>
  <c r="H43" i="8"/>
  <c r="H19" i="11"/>
  <c r="I43" i="8"/>
  <c r="I19" i="11"/>
  <c r="J43" i="8"/>
  <c r="J19" i="11"/>
  <c r="K43" i="8"/>
  <c r="K19" i="11"/>
  <c r="L43" i="8"/>
  <c r="L19" i="11"/>
  <c r="C44" i="8"/>
  <c r="C20" i="11"/>
  <c r="D44" i="8"/>
  <c r="D20" i="11"/>
  <c r="E44" i="8"/>
  <c r="E20" i="11"/>
  <c r="F44" i="8"/>
  <c r="F20" i="11"/>
  <c r="G44" i="8"/>
  <c r="G20" i="11"/>
  <c r="H44" i="8"/>
  <c r="H20" i="11"/>
  <c r="I44" i="8"/>
  <c r="I20" i="11"/>
  <c r="J44" i="8"/>
  <c r="J20" i="11"/>
  <c r="K44" i="8"/>
  <c r="K20" i="11"/>
  <c r="L44" i="8"/>
  <c r="L20" i="11"/>
  <c r="J45" i="8"/>
  <c r="J21" i="11"/>
  <c r="C46" i="8"/>
  <c r="C22" i="11"/>
  <c r="D46" i="8"/>
  <c r="D22" i="11"/>
  <c r="E46" i="8"/>
  <c r="E22" i="11"/>
  <c r="F46" i="8"/>
  <c r="F22" i="11"/>
  <c r="G46" i="8"/>
  <c r="G22" i="11"/>
  <c r="H46" i="8"/>
  <c r="H22" i="11"/>
  <c r="I46" i="8"/>
  <c r="I22" i="11"/>
  <c r="J46" i="8"/>
  <c r="J22" i="11"/>
  <c r="K46" i="8"/>
  <c r="K22" i="11"/>
  <c r="L46" i="8"/>
  <c r="L22" i="11"/>
  <c r="M6" i="8"/>
  <c r="M7" i="8"/>
  <c r="M11" i="8"/>
  <c r="M12" i="8"/>
  <c r="M13" i="8"/>
  <c r="M16" i="8"/>
  <c r="M17" i="8"/>
  <c r="C6" i="8"/>
  <c r="D6" i="8"/>
  <c r="E6" i="8"/>
  <c r="F6" i="8"/>
  <c r="G6" i="8"/>
  <c r="H6" i="8"/>
  <c r="I6" i="8"/>
  <c r="J6" i="8"/>
  <c r="K6" i="8"/>
  <c r="L6" i="8"/>
  <c r="C7" i="8"/>
  <c r="D7" i="8"/>
  <c r="E7" i="8"/>
  <c r="F7" i="8"/>
  <c r="G7" i="8"/>
  <c r="H7" i="8"/>
  <c r="I7" i="8"/>
  <c r="J7" i="8"/>
  <c r="K7" i="8"/>
  <c r="L7" i="8"/>
  <c r="L9" i="8"/>
  <c r="C11" i="8"/>
  <c r="D11" i="8"/>
  <c r="E11" i="8"/>
  <c r="F11" i="8"/>
  <c r="G11" i="8"/>
  <c r="H11" i="8"/>
  <c r="I11" i="8"/>
  <c r="J11" i="8"/>
  <c r="K11" i="8"/>
  <c r="L11" i="8"/>
  <c r="C12" i="8"/>
  <c r="D12" i="8"/>
  <c r="E12" i="8"/>
  <c r="F12" i="8"/>
  <c r="G12" i="8"/>
  <c r="H12" i="8"/>
  <c r="I12" i="8"/>
  <c r="J12" i="8"/>
  <c r="K12" i="8"/>
  <c r="L12" i="8"/>
  <c r="C13" i="8"/>
  <c r="D13" i="8"/>
  <c r="E13" i="8"/>
  <c r="F13" i="8"/>
  <c r="G13" i="8"/>
  <c r="H13" i="8"/>
  <c r="I13" i="8"/>
  <c r="J13" i="8"/>
  <c r="K13" i="8"/>
  <c r="L13" i="8"/>
  <c r="C16" i="8"/>
  <c r="D16" i="8"/>
  <c r="E16" i="8"/>
  <c r="F16" i="8"/>
  <c r="G16" i="8"/>
  <c r="H16" i="8"/>
  <c r="I16" i="8"/>
  <c r="J16" i="8"/>
  <c r="K16" i="8"/>
  <c r="L16" i="8"/>
  <c r="C17" i="8"/>
  <c r="D17" i="8"/>
  <c r="E17" i="8"/>
  <c r="F17" i="8"/>
  <c r="G17" i="8"/>
  <c r="H17" i="8"/>
  <c r="I17" i="8"/>
  <c r="J17" i="8"/>
  <c r="K17" i="8"/>
  <c r="L17" i="8"/>
  <c r="C18" i="8"/>
  <c r="D18" i="8"/>
  <c r="E18" i="8"/>
  <c r="F18" i="8"/>
  <c r="G18" i="8"/>
  <c r="H18" i="8"/>
  <c r="I18" i="8"/>
  <c r="J18" i="8"/>
  <c r="K18" i="8"/>
  <c r="L18" i="8"/>
  <c r="C19" i="8"/>
  <c r="D19" i="8"/>
  <c r="E19" i="8"/>
  <c r="F19" i="8"/>
  <c r="G19" i="8"/>
  <c r="H19" i="8"/>
  <c r="I19" i="8"/>
  <c r="J19" i="8"/>
  <c r="K19" i="8"/>
  <c r="L19" i="8"/>
  <c r="C20" i="8"/>
  <c r="D20" i="8"/>
  <c r="E20" i="8"/>
  <c r="F20" i="8"/>
  <c r="G20" i="8"/>
  <c r="H20" i="8"/>
  <c r="I20" i="8"/>
  <c r="J20" i="8"/>
  <c r="K20" i="8"/>
  <c r="L20" i="8"/>
  <c r="Q81" i="8"/>
  <c r="Q82" i="8"/>
  <c r="Q83" i="8"/>
  <c r="Q84" i="8"/>
  <c r="Q85" i="8"/>
  <c r="Q86" i="8"/>
  <c r="Q87" i="8"/>
  <c r="Q88" i="8"/>
  <c r="Q89" i="8"/>
  <c r="Q90" i="8"/>
  <c r="Q91" i="8"/>
  <c r="Q92" i="8"/>
  <c r="Q93" i="8"/>
  <c r="Q94" i="8"/>
  <c r="Q95" i="8"/>
  <c r="Q96" i="8"/>
  <c r="Q97" i="8"/>
  <c r="Q80" i="8"/>
  <c r="B81" i="8"/>
  <c r="B82" i="8"/>
  <c r="B83" i="8"/>
  <c r="B84" i="8"/>
  <c r="B85" i="8"/>
  <c r="B86" i="8"/>
  <c r="B87" i="8"/>
  <c r="B88" i="8"/>
  <c r="B89" i="8"/>
  <c r="B90" i="8"/>
  <c r="B91" i="8"/>
  <c r="B92" i="8"/>
  <c r="B93" i="8"/>
  <c r="B94" i="8"/>
  <c r="B95" i="8"/>
  <c r="B96" i="8"/>
  <c r="B97" i="8"/>
  <c r="B80" i="8"/>
  <c r="B55" i="8"/>
  <c r="B56" i="8"/>
  <c r="B57" i="8"/>
  <c r="B58" i="8"/>
  <c r="B59" i="8"/>
  <c r="B60" i="8"/>
  <c r="B61" i="8"/>
  <c r="B62" i="8"/>
  <c r="B63" i="8"/>
  <c r="B64" i="8"/>
  <c r="B65" i="8"/>
  <c r="B66" i="8"/>
  <c r="B67" i="8"/>
  <c r="B68" i="8"/>
  <c r="B69" i="8"/>
  <c r="B70" i="8"/>
  <c r="B71" i="8"/>
  <c r="B54" i="8"/>
  <c r="B30" i="8"/>
  <c r="B31" i="8"/>
  <c r="B32" i="8"/>
  <c r="B33" i="8"/>
  <c r="B34" i="8"/>
  <c r="B35" i="8"/>
  <c r="B36" i="8"/>
  <c r="B37" i="8"/>
  <c r="B38" i="8"/>
  <c r="B39" i="8"/>
  <c r="B40" i="8"/>
  <c r="B41" i="8"/>
  <c r="B42" i="8"/>
  <c r="B43" i="8"/>
  <c r="B44" i="8"/>
  <c r="B45" i="8"/>
  <c r="B46" i="8"/>
  <c r="B29" i="8"/>
  <c r="AC84" i="1"/>
  <c r="AD84" i="1"/>
  <c r="AE84" i="1"/>
  <c r="AF84" i="1"/>
  <c r="AG84" i="1"/>
  <c r="AH84" i="1"/>
  <c r="AI84" i="1"/>
  <c r="AJ84" i="1"/>
  <c r="AK84" i="1"/>
  <c r="AL84" i="1"/>
  <c r="AM84" i="1"/>
  <c r="AC85" i="1"/>
  <c r="C8" i="8"/>
  <c r="AD85" i="1"/>
  <c r="D8" i="8"/>
  <c r="AE85" i="1"/>
  <c r="E8" i="8"/>
  <c r="AF85" i="1"/>
  <c r="F8" i="8"/>
  <c r="AG85" i="1"/>
  <c r="G8" i="8"/>
  <c r="AH85" i="1"/>
  <c r="H8" i="8"/>
  <c r="AI85" i="1"/>
  <c r="I8" i="8"/>
  <c r="AJ85" i="1"/>
  <c r="J8" i="8"/>
  <c r="AK85" i="1"/>
  <c r="K8" i="8"/>
  <c r="AL85" i="1"/>
  <c r="L8" i="8"/>
  <c r="AM85" i="1"/>
  <c r="AC86" i="1"/>
  <c r="C9" i="8"/>
  <c r="AD86" i="1"/>
  <c r="D9" i="8"/>
  <c r="AE86" i="1"/>
  <c r="E9" i="8"/>
  <c r="AF86" i="1"/>
  <c r="F9" i="8"/>
  <c r="AG86" i="1"/>
  <c r="G9" i="8"/>
  <c r="AH86" i="1"/>
  <c r="H9" i="8"/>
  <c r="AI86" i="1"/>
  <c r="I9" i="8"/>
  <c r="AJ86" i="1"/>
  <c r="J9" i="8"/>
  <c r="AK86" i="1"/>
  <c r="K9" i="8"/>
  <c r="AL86" i="1"/>
  <c r="AM86" i="1"/>
  <c r="AC87" i="1"/>
  <c r="C10" i="8"/>
  <c r="AD87" i="1"/>
  <c r="D10" i="8"/>
  <c r="AE87" i="1"/>
  <c r="E10" i="8"/>
  <c r="AF87" i="1"/>
  <c r="F10" i="8"/>
  <c r="AG87" i="1"/>
  <c r="G10" i="8"/>
  <c r="AH87" i="1"/>
  <c r="H10" i="8"/>
  <c r="AI87" i="1"/>
  <c r="I10" i="8"/>
  <c r="AJ87" i="1"/>
  <c r="J10" i="8"/>
  <c r="AK87" i="1"/>
  <c r="K10" i="8"/>
  <c r="AL87" i="1"/>
  <c r="L10" i="8"/>
  <c r="AM87" i="1"/>
  <c r="AC88" i="1"/>
  <c r="AD88" i="1"/>
  <c r="AE88" i="1"/>
  <c r="AF88" i="1"/>
  <c r="AG88" i="1"/>
  <c r="AH88" i="1"/>
  <c r="AI88" i="1"/>
  <c r="AJ88" i="1"/>
  <c r="AK88" i="1"/>
  <c r="AL88" i="1"/>
  <c r="AM88" i="1"/>
  <c r="AC89" i="1"/>
  <c r="AD89" i="1"/>
  <c r="AE89" i="1"/>
  <c r="AF89" i="1"/>
  <c r="AG89" i="1"/>
  <c r="AH89" i="1"/>
  <c r="AI89" i="1"/>
  <c r="AJ89" i="1"/>
  <c r="AK89" i="1"/>
  <c r="AL89" i="1"/>
  <c r="AM89" i="1"/>
  <c r="AC90" i="1"/>
  <c r="AD90" i="1"/>
  <c r="AE90" i="1"/>
  <c r="AF90" i="1"/>
  <c r="AG90" i="1"/>
  <c r="AH90" i="1"/>
  <c r="AI90" i="1"/>
  <c r="AJ90" i="1"/>
  <c r="AK90" i="1"/>
  <c r="AL90" i="1"/>
  <c r="AM90" i="1"/>
  <c r="AC91" i="1"/>
  <c r="C14" i="8"/>
  <c r="AD91" i="1"/>
  <c r="D14" i="8"/>
  <c r="AE91" i="1"/>
  <c r="E14" i="8"/>
  <c r="AF91" i="1"/>
  <c r="F14" i="8"/>
  <c r="AG91" i="1"/>
  <c r="G14" i="8"/>
  <c r="AH91" i="1"/>
  <c r="H14" i="8"/>
  <c r="AI91" i="1"/>
  <c r="I14" i="8"/>
  <c r="AJ91" i="1"/>
  <c r="J14" i="8"/>
  <c r="AK91" i="1"/>
  <c r="K14" i="8"/>
  <c r="AL91" i="1"/>
  <c r="L14" i="8"/>
  <c r="AM91" i="1"/>
  <c r="AC92" i="1"/>
  <c r="C15" i="8"/>
  <c r="AD92" i="1"/>
  <c r="D15" i="8"/>
  <c r="AE92" i="1"/>
  <c r="E15" i="8"/>
  <c r="AF92" i="1"/>
  <c r="F15" i="8"/>
  <c r="AG92" i="1"/>
  <c r="G15" i="8"/>
  <c r="AH92" i="1"/>
  <c r="H15" i="8"/>
  <c r="AI92" i="1"/>
  <c r="I15" i="8"/>
  <c r="AJ92" i="1"/>
  <c r="J15" i="8"/>
  <c r="AK92" i="1"/>
  <c r="K15" i="8"/>
  <c r="AL92" i="1"/>
  <c r="L15" i="8"/>
  <c r="AM92" i="1"/>
  <c r="AC93" i="1"/>
  <c r="AD93" i="1"/>
  <c r="AE93" i="1"/>
  <c r="AF93" i="1"/>
  <c r="AG93" i="1"/>
  <c r="AH93" i="1"/>
  <c r="AI93" i="1"/>
  <c r="AJ93" i="1"/>
  <c r="AK93" i="1"/>
  <c r="AL93" i="1"/>
  <c r="AM93" i="1"/>
  <c r="AC94" i="1"/>
  <c r="AD94" i="1"/>
  <c r="AE94" i="1"/>
  <c r="AF94" i="1"/>
  <c r="AG94" i="1"/>
  <c r="AH94" i="1"/>
  <c r="AI94" i="1"/>
  <c r="AJ94" i="1"/>
  <c r="AK94" i="1"/>
  <c r="AL94" i="1"/>
  <c r="AM94" i="1"/>
  <c r="AC95" i="1"/>
  <c r="AD95" i="1"/>
  <c r="AE95" i="1"/>
  <c r="AF95" i="1"/>
  <c r="AG95" i="1"/>
  <c r="AH95" i="1"/>
  <c r="AI95" i="1"/>
  <c r="AJ95" i="1"/>
  <c r="AK95" i="1"/>
  <c r="AL95" i="1"/>
  <c r="AM95" i="1"/>
  <c r="AC96" i="1"/>
  <c r="AD96" i="1"/>
  <c r="AE96" i="1"/>
  <c r="AF96" i="1"/>
  <c r="AG96" i="1"/>
  <c r="AH96" i="1"/>
  <c r="AI96" i="1"/>
  <c r="AJ96" i="1"/>
  <c r="AK96" i="1"/>
  <c r="AL96" i="1"/>
  <c r="AM96" i="1"/>
  <c r="AC97" i="1"/>
  <c r="AD97" i="1"/>
  <c r="AE97" i="1"/>
  <c r="AF97" i="1"/>
  <c r="AG97" i="1"/>
  <c r="AH97" i="1"/>
  <c r="AI97" i="1"/>
  <c r="AJ97" i="1"/>
  <c r="AK97" i="1"/>
  <c r="AL97" i="1"/>
  <c r="AM97" i="1"/>
  <c r="AC98" i="1"/>
  <c r="C21" i="8"/>
  <c r="AD98" i="1"/>
  <c r="D21" i="8"/>
  <c r="AE98" i="1"/>
  <c r="E21" i="8"/>
  <c r="AF98" i="1"/>
  <c r="F21" i="8"/>
  <c r="AG98" i="1"/>
  <c r="G21" i="8"/>
  <c r="AH98" i="1"/>
  <c r="H21" i="8"/>
  <c r="AI98" i="1"/>
  <c r="I21" i="8"/>
  <c r="AJ98" i="1"/>
  <c r="J21" i="8"/>
  <c r="AK98" i="1"/>
  <c r="K21" i="8"/>
  <c r="AL98" i="1"/>
  <c r="L21" i="8"/>
  <c r="AM98" i="1"/>
  <c r="AC99" i="1"/>
  <c r="C22" i="8"/>
  <c r="AD99" i="1"/>
  <c r="D22" i="8"/>
  <c r="AE99" i="1"/>
  <c r="E22" i="8"/>
  <c r="AF99" i="1"/>
  <c r="F22" i="8"/>
  <c r="AG99" i="1"/>
  <c r="G22" i="8"/>
  <c r="AH99" i="1"/>
  <c r="H22" i="8"/>
  <c r="AI99" i="1"/>
  <c r="I22" i="8"/>
  <c r="AJ99" i="1"/>
  <c r="J22" i="8"/>
  <c r="AK99" i="1"/>
  <c r="K22" i="8"/>
  <c r="AL99" i="1"/>
  <c r="L22" i="8"/>
  <c r="AM99" i="1"/>
  <c r="AC83" i="1"/>
  <c r="AD83" i="1"/>
  <c r="AE83" i="1"/>
  <c r="AF83" i="1"/>
  <c r="AG83" i="1"/>
  <c r="AH83" i="1"/>
  <c r="AI83" i="1"/>
  <c r="AJ83" i="1"/>
  <c r="AK83" i="1"/>
  <c r="AL83" i="1"/>
  <c r="AM83" i="1"/>
  <c r="K27" i="1"/>
  <c r="K28" i="1"/>
  <c r="K29" i="1"/>
  <c r="K30" i="1"/>
  <c r="K31" i="1"/>
  <c r="K32" i="1"/>
  <c r="K33" i="1"/>
  <c r="K34" i="1"/>
  <c r="K35" i="1"/>
  <c r="K36" i="1"/>
  <c r="K37" i="1"/>
  <c r="K38" i="1"/>
  <c r="K39" i="1"/>
  <c r="K40" i="1"/>
  <c r="K41" i="1"/>
  <c r="K42" i="1"/>
  <c r="K43" i="1"/>
  <c r="K26" i="1"/>
  <c r="I34" i="1"/>
  <c r="K83" i="1"/>
  <c r="K84" i="1"/>
  <c r="K85" i="1"/>
  <c r="K86" i="1"/>
  <c r="K87" i="1"/>
  <c r="K88" i="1"/>
  <c r="K89" i="1"/>
  <c r="K90" i="1"/>
  <c r="K91" i="1"/>
  <c r="K92" i="1"/>
  <c r="K93" i="1"/>
  <c r="K94" i="1"/>
  <c r="K95" i="1"/>
  <c r="K96" i="1"/>
  <c r="K97" i="1"/>
  <c r="K98" i="1"/>
  <c r="K99" i="1"/>
  <c r="K82" i="1"/>
  <c r="K52" i="1"/>
  <c r="K53" i="1"/>
  <c r="K54" i="1"/>
  <c r="K55" i="1"/>
  <c r="K56" i="1"/>
  <c r="K57" i="1"/>
  <c r="K58" i="1"/>
  <c r="K59" i="1"/>
  <c r="K60" i="1"/>
  <c r="K61" i="1"/>
  <c r="K62" i="1"/>
  <c r="K63" i="1"/>
  <c r="K64" i="1"/>
  <c r="K65" i="1"/>
  <c r="K66" i="1"/>
  <c r="K67" i="1"/>
  <c r="K68" i="1"/>
  <c r="K51" i="1"/>
  <c r="A1115" i="10"/>
  <c r="A1114" i="10"/>
  <c r="A1113" i="10"/>
  <c r="A1112" i="10"/>
  <c r="A1111" i="10"/>
  <c r="A1110" i="10"/>
  <c r="A1109" i="10"/>
  <c r="A1108" i="10"/>
  <c r="A1107" i="10"/>
  <c r="A1106" i="10"/>
  <c r="A1105" i="10"/>
  <c r="A1104" i="10"/>
  <c r="A1103" i="10"/>
  <c r="A1102" i="10"/>
  <c r="A1101" i="10"/>
  <c r="A1100" i="10"/>
  <c r="A1099" i="10"/>
  <c r="A1098" i="10"/>
  <c r="A1097" i="10"/>
  <c r="A1096" i="10"/>
  <c r="A1095" i="10"/>
  <c r="A1094" i="10"/>
  <c r="A1093" i="10"/>
  <c r="A1092" i="10"/>
  <c r="A1091" i="10"/>
  <c r="A1090" i="10"/>
  <c r="A1089" i="10"/>
  <c r="A1088" i="10"/>
  <c r="A1087" i="10"/>
  <c r="A1086" i="10"/>
  <c r="A1085" i="10"/>
  <c r="A1084" i="10"/>
  <c r="A1083" i="10"/>
  <c r="A1082" i="10"/>
  <c r="A1081" i="10"/>
  <c r="A1080" i="10"/>
  <c r="A1079" i="10"/>
  <c r="A1078" i="10"/>
  <c r="A1077" i="10"/>
  <c r="A1076" i="10"/>
  <c r="A1075" i="10"/>
  <c r="A1074" i="10"/>
  <c r="A1073" i="10"/>
  <c r="A1072" i="10"/>
  <c r="A1071" i="10"/>
  <c r="A1070" i="10"/>
  <c r="A1069" i="10"/>
  <c r="A1068" i="10"/>
  <c r="A1067" i="10"/>
  <c r="A1066" i="10"/>
  <c r="A1065" i="10"/>
  <c r="A1064" i="10"/>
  <c r="A1063" i="10"/>
  <c r="A1062" i="10"/>
  <c r="A1061" i="10"/>
  <c r="A1060" i="10"/>
  <c r="A1059" i="10"/>
  <c r="A1058" i="10"/>
  <c r="A1057" i="10"/>
  <c r="A1056" i="10"/>
  <c r="A1055" i="10"/>
  <c r="A1054" i="10"/>
  <c r="A1053" i="10"/>
  <c r="A1052" i="10"/>
  <c r="A1051" i="10"/>
  <c r="A1050" i="10"/>
  <c r="A1049" i="10"/>
  <c r="A1048" i="10"/>
  <c r="A1047" i="10"/>
  <c r="A1046" i="10"/>
  <c r="A1045" i="10"/>
  <c r="A1044" i="10"/>
  <c r="A1043" i="10"/>
  <c r="A1042" i="10"/>
  <c r="A1041" i="10"/>
  <c r="A1040" i="10"/>
  <c r="A1039" i="10"/>
  <c r="A1038" i="10"/>
  <c r="A1037" i="10"/>
  <c r="A1036" i="10"/>
  <c r="A1035" i="10"/>
  <c r="A1034" i="10"/>
  <c r="A1033" i="10"/>
  <c r="A1032" i="10"/>
  <c r="A1031" i="10"/>
  <c r="A1030" i="10"/>
  <c r="A1029" i="10"/>
  <c r="A1028" i="10"/>
  <c r="A1027" i="10"/>
  <c r="A1026" i="10"/>
  <c r="A1025" i="10"/>
  <c r="A1024" i="10"/>
  <c r="A1023" i="10"/>
  <c r="A1022" i="10"/>
  <c r="A1021" i="10"/>
  <c r="A1020" i="10"/>
  <c r="A1019" i="10"/>
  <c r="A1018" i="10"/>
  <c r="A1017" i="10"/>
  <c r="A1016" i="10"/>
  <c r="A1015" i="10"/>
  <c r="A1014" i="10"/>
  <c r="A1013" i="10"/>
  <c r="A1012" i="10"/>
  <c r="A1011" i="10"/>
  <c r="A1010" i="10"/>
  <c r="A1009" i="10"/>
  <c r="A1008" i="10"/>
  <c r="A1007" i="10"/>
  <c r="A1006" i="10"/>
  <c r="A1005" i="10"/>
  <c r="A1004" i="10"/>
  <c r="A1003" i="10"/>
  <c r="A1002" i="10"/>
  <c r="A1001" i="10"/>
  <c r="A1000" i="10"/>
  <c r="A999" i="10"/>
  <c r="A998" i="10"/>
  <c r="A997" i="10"/>
  <c r="A996" i="10"/>
  <c r="A995" i="10"/>
  <c r="A994" i="10"/>
  <c r="A993" i="10"/>
  <c r="A992" i="10"/>
  <c r="A991" i="10"/>
  <c r="A990" i="10"/>
  <c r="A989" i="10"/>
  <c r="A988" i="10"/>
  <c r="A987" i="10"/>
  <c r="A986" i="10"/>
  <c r="A985" i="10"/>
  <c r="A984" i="10"/>
  <c r="A983" i="10"/>
  <c r="A982" i="10"/>
  <c r="A981" i="10"/>
  <c r="A980" i="10"/>
  <c r="A979" i="10"/>
  <c r="A978" i="10"/>
  <c r="A977" i="10"/>
  <c r="A976" i="10"/>
  <c r="A975" i="10"/>
  <c r="A974" i="10"/>
  <c r="A973" i="10"/>
  <c r="A972" i="10"/>
  <c r="A971" i="10"/>
  <c r="A970" i="10"/>
  <c r="A969" i="10"/>
  <c r="A968" i="10"/>
  <c r="A967" i="10"/>
  <c r="A966" i="10"/>
  <c r="A965" i="10"/>
  <c r="A964" i="10"/>
  <c r="A963" i="10"/>
  <c r="A962" i="10"/>
  <c r="A961" i="10"/>
  <c r="A960" i="10"/>
  <c r="A959" i="10"/>
  <c r="A958" i="10"/>
  <c r="A957" i="10"/>
  <c r="A956" i="10"/>
  <c r="A955" i="10"/>
  <c r="A954" i="10"/>
  <c r="A953" i="10"/>
  <c r="A952" i="10"/>
  <c r="A951" i="10"/>
  <c r="A950" i="10"/>
  <c r="A949" i="10"/>
  <c r="A948" i="10"/>
  <c r="A947" i="10"/>
  <c r="A946" i="10"/>
  <c r="A945" i="10"/>
  <c r="A944" i="10"/>
  <c r="A943" i="10"/>
  <c r="A942" i="10"/>
  <c r="A941" i="10"/>
  <c r="A940" i="10"/>
  <c r="A939" i="10"/>
  <c r="A938" i="10"/>
  <c r="A937" i="10"/>
  <c r="A936" i="10"/>
  <c r="A935" i="10"/>
  <c r="A934" i="10"/>
  <c r="A933" i="10"/>
  <c r="A932" i="10"/>
  <c r="A931" i="10"/>
  <c r="A930" i="10"/>
  <c r="A929" i="10"/>
  <c r="A928" i="10"/>
  <c r="A927" i="10"/>
  <c r="A926" i="10"/>
  <c r="A925" i="10"/>
  <c r="A924" i="10"/>
  <c r="A923" i="10"/>
  <c r="A922" i="10"/>
  <c r="A921" i="10"/>
  <c r="A920" i="10"/>
  <c r="A919" i="10"/>
  <c r="A918" i="10"/>
  <c r="A917" i="10"/>
  <c r="A916" i="10"/>
  <c r="A915" i="10"/>
  <c r="A914" i="10"/>
  <c r="A913" i="10"/>
  <c r="A912" i="10"/>
  <c r="A911" i="10"/>
  <c r="A910" i="10"/>
  <c r="A909" i="10"/>
  <c r="A908" i="10"/>
  <c r="A907" i="10"/>
  <c r="A906" i="10"/>
  <c r="A905" i="10"/>
  <c r="A904" i="10"/>
  <c r="A903" i="10"/>
  <c r="A902" i="10"/>
  <c r="A901" i="10"/>
  <c r="A900" i="10"/>
  <c r="A899" i="10"/>
  <c r="A898" i="10"/>
  <c r="A897" i="10"/>
  <c r="A896" i="10"/>
  <c r="A895" i="10"/>
  <c r="A894" i="10"/>
  <c r="A893" i="10"/>
  <c r="A892" i="10"/>
  <c r="A891" i="10"/>
  <c r="A890" i="10"/>
  <c r="A889" i="10"/>
  <c r="A888" i="10"/>
  <c r="A887" i="10"/>
  <c r="A886" i="10"/>
  <c r="A885" i="10"/>
  <c r="A884" i="10"/>
  <c r="A883" i="10"/>
  <c r="A882" i="10"/>
  <c r="A881" i="10"/>
  <c r="A880" i="10"/>
  <c r="A879" i="10"/>
  <c r="A878" i="10"/>
  <c r="A877" i="10"/>
  <c r="A876" i="10"/>
  <c r="A875" i="10"/>
  <c r="A874" i="10"/>
  <c r="A873" i="10"/>
  <c r="A872" i="10"/>
  <c r="A871" i="10"/>
  <c r="A870" i="10"/>
  <c r="A869" i="10"/>
  <c r="A868" i="10"/>
  <c r="A867" i="10"/>
  <c r="A866" i="10"/>
  <c r="A865" i="10"/>
  <c r="A864" i="10"/>
  <c r="A863" i="10"/>
  <c r="A862" i="10"/>
  <c r="A861" i="10"/>
  <c r="A860" i="10"/>
  <c r="A859" i="10"/>
  <c r="A858" i="10"/>
  <c r="A857" i="10"/>
  <c r="A856" i="10"/>
  <c r="A855" i="10"/>
  <c r="A854" i="10"/>
  <c r="A853" i="10"/>
  <c r="A852" i="10"/>
  <c r="A851" i="10"/>
  <c r="A850" i="10"/>
  <c r="A849" i="10"/>
  <c r="A848" i="10"/>
  <c r="A847" i="10"/>
  <c r="A846" i="10"/>
  <c r="A845" i="10"/>
  <c r="A844" i="10"/>
  <c r="A843" i="10"/>
  <c r="A842" i="10"/>
  <c r="A841" i="10"/>
  <c r="A840" i="10"/>
  <c r="A839" i="10"/>
  <c r="A838" i="10"/>
  <c r="A837" i="10"/>
  <c r="A836" i="10"/>
  <c r="A835" i="10"/>
  <c r="A834" i="10"/>
  <c r="A833" i="10"/>
  <c r="A832" i="10"/>
  <c r="A831" i="10"/>
  <c r="A830" i="10"/>
  <c r="A829" i="10"/>
  <c r="A828" i="10"/>
  <c r="A827" i="10"/>
  <c r="A826" i="10"/>
  <c r="A825" i="10"/>
  <c r="A824" i="10"/>
  <c r="A823" i="10"/>
  <c r="A822" i="10"/>
  <c r="A821" i="10"/>
  <c r="A820" i="10"/>
  <c r="A819" i="10"/>
  <c r="A818" i="10"/>
  <c r="A817" i="10"/>
  <c r="A816" i="10"/>
  <c r="A815" i="10"/>
  <c r="A814" i="10"/>
  <c r="A813" i="10"/>
  <c r="A812" i="10"/>
  <c r="A811" i="10"/>
  <c r="A810" i="10"/>
  <c r="A809" i="10"/>
  <c r="A808" i="10"/>
  <c r="A807" i="10"/>
  <c r="A806" i="10"/>
  <c r="A805" i="10"/>
  <c r="A804" i="10"/>
  <c r="A803" i="10"/>
  <c r="A802" i="10"/>
  <c r="A801" i="10"/>
  <c r="A800" i="10"/>
  <c r="A799" i="10"/>
  <c r="A798" i="10"/>
  <c r="A797" i="10"/>
  <c r="A796" i="10"/>
  <c r="A795" i="10"/>
  <c r="A794" i="10"/>
  <c r="A793" i="10"/>
  <c r="A792" i="10"/>
  <c r="A791" i="10"/>
  <c r="A790" i="10"/>
  <c r="A789" i="10"/>
  <c r="A788" i="10"/>
  <c r="A787" i="10"/>
  <c r="A786" i="10"/>
  <c r="A785" i="10"/>
  <c r="A784" i="10"/>
  <c r="A783" i="10"/>
  <c r="A782" i="10"/>
  <c r="A781" i="10"/>
  <c r="A780" i="10"/>
  <c r="A779" i="10"/>
  <c r="A778" i="10"/>
  <c r="A777" i="10"/>
  <c r="A776" i="10"/>
  <c r="A775" i="10"/>
  <c r="A774" i="10"/>
  <c r="A773" i="10"/>
  <c r="A772" i="10"/>
  <c r="A771" i="10"/>
  <c r="A770" i="10"/>
  <c r="A769" i="10"/>
  <c r="A768" i="10"/>
  <c r="A767" i="10"/>
  <c r="A766" i="10"/>
  <c r="A765" i="10"/>
  <c r="A764" i="10"/>
  <c r="A763" i="10"/>
  <c r="A762" i="10"/>
  <c r="A761" i="10"/>
  <c r="A760" i="10"/>
  <c r="A759" i="10"/>
  <c r="A758" i="10"/>
  <c r="A757" i="10"/>
  <c r="A756" i="10"/>
  <c r="A755" i="10"/>
  <c r="A754" i="10"/>
  <c r="A753" i="10"/>
  <c r="A752" i="10"/>
  <c r="A751" i="10"/>
  <c r="A750" i="10"/>
  <c r="A749" i="10"/>
  <c r="A748" i="10"/>
  <c r="A747" i="10"/>
  <c r="A746" i="10"/>
  <c r="A745" i="10"/>
  <c r="A744" i="10"/>
  <c r="A743" i="10"/>
  <c r="A742" i="10"/>
  <c r="A741" i="10"/>
  <c r="A740" i="10"/>
  <c r="A739" i="10"/>
  <c r="A738" i="10"/>
  <c r="A737" i="10"/>
  <c r="A736" i="10"/>
  <c r="A735" i="10"/>
  <c r="A734" i="10"/>
  <c r="A733" i="10"/>
  <c r="A732" i="10"/>
  <c r="A731" i="10"/>
  <c r="A730" i="10"/>
  <c r="A729" i="10"/>
  <c r="A728" i="10"/>
  <c r="A727" i="10"/>
  <c r="A726" i="10"/>
  <c r="A725" i="10"/>
  <c r="A724" i="10"/>
  <c r="A723" i="10"/>
  <c r="A722" i="10"/>
  <c r="A721" i="10"/>
  <c r="A720" i="10"/>
  <c r="A719" i="10"/>
  <c r="A718" i="10"/>
  <c r="A717" i="10"/>
  <c r="A716" i="10"/>
  <c r="A715" i="10"/>
  <c r="A714" i="10"/>
  <c r="A713" i="10"/>
  <c r="A712" i="10"/>
  <c r="A711" i="10"/>
  <c r="A710" i="10"/>
  <c r="A709" i="10"/>
  <c r="A708" i="10"/>
  <c r="A707" i="10"/>
  <c r="A706" i="10"/>
  <c r="A705" i="10"/>
  <c r="A704" i="10"/>
  <c r="A703" i="10"/>
  <c r="A702" i="10"/>
  <c r="A701" i="10"/>
  <c r="A700" i="10"/>
  <c r="A699" i="10"/>
  <c r="A698" i="10"/>
  <c r="A697" i="10"/>
  <c r="A696" i="10"/>
  <c r="A695" i="10"/>
  <c r="A694" i="10"/>
  <c r="A693" i="10"/>
  <c r="A692" i="10"/>
  <c r="A691" i="10"/>
  <c r="A690" i="10"/>
  <c r="A689" i="10"/>
  <c r="A688" i="10"/>
  <c r="A687" i="10"/>
  <c r="A686" i="10"/>
  <c r="A685" i="10"/>
  <c r="A684" i="10"/>
  <c r="A683" i="10"/>
  <c r="A682" i="10"/>
  <c r="A681" i="10"/>
  <c r="A680" i="10"/>
  <c r="A679" i="10"/>
  <c r="A678" i="10"/>
  <c r="A677" i="10"/>
  <c r="A676" i="10"/>
  <c r="A675" i="10"/>
  <c r="A674" i="10"/>
  <c r="A673" i="10"/>
  <c r="A672" i="10"/>
  <c r="A671" i="10"/>
  <c r="A670" i="10"/>
  <c r="A669" i="10"/>
  <c r="A668" i="10"/>
  <c r="A667" i="10"/>
  <c r="A666" i="10"/>
  <c r="A665" i="10"/>
  <c r="A664" i="10"/>
  <c r="A663" i="10"/>
  <c r="A662" i="10"/>
  <c r="A661" i="10"/>
  <c r="A660" i="10"/>
  <c r="A659" i="10"/>
  <c r="A658" i="10"/>
  <c r="A657" i="10"/>
  <c r="A656" i="10"/>
  <c r="A655" i="10"/>
  <c r="A654" i="10"/>
  <c r="A653" i="10"/>
  <c r="A652" i="10"/>
  <c r="A651" i="10"/>
  <c r="A650" i="10"/>
  <c r="A649" i="10"/>
  <c r="A648" i="10"/>
  <c r="A647" i="10"/>
  <c r="A646" i="10"/>
  <c r="A645" i="10"/>
  <c r="A644" i="10"/>
  <c r="A643" i="10"/>
  <c r="A642" i="10"/>
  <c r="A641" i="10"/>
  <c r="A640" i="10"/>
  <c r="A639" i="10"/>
  <c r="A638" i="10"/>
  <c r="A637" i="10"/>
  <c r="A636" i="10"/>
  <c r="A635" i="10"/>
  <c r="A634" i="10"/>
  <c r="A633" i="10"/>
  <c r="A632" i="10"/>
  <c r="A631" i="10"/>
  <c r="A630" i="10"/>
  <c r="A629" i="10"/>
  <c r="A628" i="10"/>
  <c r="A627" i="10"/>
  <c r="A626" i="10"/>
  <c r="A625" i="10"/>
  <c r="A624" i="10"/>
  <c r="A623" i="10"/>
  <c r="A622" i="10"/>
  <c r="A621" i="10"/>
  <c r="A620" i="10"/>
  <c r="A619" i="10"/>
  <c r="A618" i="10"/>
  <c r="A617" i="10"/>
  <c r="A616" i="10"/>
  <c r="A615" i="10"/>
  <c r="A614" i="10"/>
  <c r="A613" i="10"/>
  <c r="A612" i="10"/>
  <c r="A611" i="10"/>
  <c r="A610" i="10"/>
  <c r="A609" i="10"/>
  <c r="A608" i="10"/>
  <c r="A607" i="10"/>
  <c r="A606" i="10"/>
  <c r="A605" i="10"/>
  <c r="A604" i="10"/>
  <c r="A603" i="10"/>
  <c r="A602" i="10"/>
  <c r="A601" i="10"/>
  <c r="A600" i="10"/>
  <c r="A599" i="10"/>
  <c r="A598" i="10"/>
  <c r="A597" i="10"/>
  <c r="A596" i="10"/>
  <c r="A595" i="10"/>
  <c r="A594" i="10"/>
  <c r="A593" i="10"/>
  <c r="A592" i="10"/>
  <c r="A591" i="10"/>
  <c r="A590" i="10"/>
  <c r="A589" i="10"/>
  <c r="A588" i="10"/>
  <c r="A587" i="10"/>
  <c r="A586" i="10"/>
  <c r="A585" i="10"/>
  <c r="A584" i="10"/>
  <c r="A583" i="10"/>
  <c r="A582" i="10"/>
  <c r="A581" i="10"/>
  <c r="A580" i="10"/>
  <c r="A579" i="10"/>
  <c r="A578" i="10"/>
  <c r="A577" i="10"/>
  <c r="A576" i="10"/>
  <c r="A575" i="10"/>
  <c r="A574" i="10"/>
  <c r="A573" i="10"/>
  <c r="A572" i="10"/>
  <c r="A571" i="10"/>
  <c r="A570" i="10"/>
  <c r="A569" i="10"/>
  <c r="A568" i="10"/>
  <c r="A567" i="10"/>
  <c r="A566" i="10"/>
  <c r="A565" i="10"/>
  <c r="A564" i="10"/>
  <c r="A563" i="10"/>
  <c r="A562" i="10"/>
  <c r="A561" i="10"/>
  <c r="A560" i="10"/>
  <c r="A559" i="10"/>
  <c r="A558" i="10"/>
  <c r="A557" i="10"/>
  <c r="A556" i="10"/>
  <c r="A555" i="10"/>
  <c r="A554" i="10"/>
  <c r="A553" i="10"/>
  <c r="A552" i="10"/>
  <c r="A551" i="10"/>
  <c r="A550" i="10"/>
  <c r="A549" i="10"/>
  <c r="A548" i="10"/>
  <c r="A547" i="10"/>
  <c r="A546" i="10"/>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c r="H70" i="10"/>
  <c r="A70" i="10"/>
  <c r="I69" i="10"/>
  <c r="J69" i="10"/>
  <c r="H69" i="10"/>
  <c r="A69" i="10"/>
  <c r="I68" i="10"/>
  <c r="J68" i="10"/>
  <c r="H68" i="10"/>
  <c r="A68" i="10"/>
  <c r="I67" i="10"/>
  <c r="J67" i="10"/>
  <c r="H67" i="10"/>
  <c r="A67" i="10"/>
  <c r="I66" i="10"/>
  <c r="J66" i="10"/>
  <c r="H66" i="10"/>
  <c r="A66" i="10"/>
  <c r="I65" i="10"/>
  <c r="J65" i="10"/>
  <c r="H65" i="10"/>
  <c r="A65" i="10"/>
  <c r="I64" i="10"/>
  <c r="J64" i="10"/>
  <c r="H64" i="10"/>
  <c r="A64" i="10"/>
  <c r="I63" i="10"/>
  <c r="J63" i="10"/>
  <c r="H63" i="10"/>
  <c r="A63" i="10"/>
  <c r="I62" i="10"/>
  <c r="J62" i="10"/>
  <c r="H62" i="10"/>
  <c r="A62" i="10"/>
  <c r="I61" i="10"/>
  <c r="J61" i="10"/>
  <c r="H61" i="10"/>
  <c r="A61" i="10"/>
  <c r="I60" i="10"/>
  <c r="J60" i="10"/>
  <c r="H60" i="10"/>
  <c r="A60" i="10"/>
  <c r="I59" i="10"/>
  <c r="J59" i="10"/>
  <c r="H59" i="10"/>
  <c r="A59" i="10"/>
  <c r="I58" i="10"/>
  <c r="J58" i="10"/>
  <c r="H58" i="10"/>
  <c r="A58" i="10"/>
  <c r="I57" i="10"/>
  <c r="J57" i="10"/>
  <c r="H57" i="10"/>
  <c r="A57" i="10"/>
  <c r="I56" i="10"/>
  <c r="J56" i="10"/>
  <c r="H56" i="10"/>
  <c r="A56" i="10"/>
  <c r="I55" i="10"/>
  <c r="J55" i="10"/>
  <c r="H55" i="10"/>
  <c r="A55" i="10"/>
  <c r="I54" i="10"/>
  <c r="J54" i="10"/>
  <c r="H54" i="10"/>
  <c r="G54"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0" i="1"/>
  <c r="I31" i="1"/>
  <c r="I32" i="1"/>
  <c r="I33" i="1"/>
  <c r="I35" i="1"/>
  <c r="I36" i="1"/>
  <c r="I37" i="1"/>
  <c r="I38" i="1"/>
  <c r="I39" i="1"/>
  <c r="I40" i="1"/>
  <c r="I41" i="1"/>
  <c r="I42" i="1"/>
  <c r="I43" i="1"/>
  <c r="I26" i="1"/>
  <c r="M15" i="8"/>
  <c r="M10" i="8"/>
  <c r="M9" i="8"/>
  <c r="M8" i="8"/>
  <c r="F77" i="11"/>
  <c r="F31" i="11"/>
  <c r="F54" i="11"/>
  <c r="B35" i="11"/>
  <c r="B58" i="11"/>
  <c r="B81" i="11"/>
  <c r="B62" i="11"/>
  <c r="B39" i="11"/>
  <c r="B85" i="11"/>
  <c r="B43" i="11"/>
  <c r="B66" i="11"/>
  <c r="B89" i="11"/>
  <c r="B70" i="11"/>
  <c r="B93" i="11"/>
  <c r="B47" i="11"/>
  <c r="E77" i="11"/>
  <c r="E31" i="11"/>
  <c r="E54" i="11"/>
  <c r="G54" i="11"/>
  <c r="G77" i="11"/>
  <c r="G31" i="11"/>
  <c r="H54" i="11"/>
  <c r="H77" i="11"/>
  <c r="H31" i="11"/>
  <c r="B55" i="11"/>
  <c r="B32" i="11"/>
  <c r="B78" i="11"/>
  <c r="B82" i="11"/>
  <c r="B36" i="11"/>
  <c r="B59" i="11"/>
  <c r="B63" i="11"/>
  <c r="B86" i="11"/>
  <c r="B40" i="11"/>
  <c r="B90" i="11"/>
  <c r="B44" i="11"/>
  <c r="B67" i="11"/>
  <c r="B71" i="11"/>
  <c r="B94" i="11"/>
  <c r="B48" i="11"/>
  <c r="I31" i="11"/>
  <c r="I54" i="11"/>
  <c r="I77" i="11"/>
  <c r="J31" i="11"/>
  <c r="J54" i="11"/>
  <c r="J77" i="11"/>
  <c r="B56" i="11"/>
  <c r="B79" i="11"/>
  <c r="B33" i="11"/>
  <c r="B83" i="11"/>
  <c r="B37" i="11"/>
  <c r="B60" i="11"/>
  <c r="B64" i="11"/>
  <c r="B87" i="11"/>
  <c r="B41" i="11"/>
  <c r="B91" i="11"/>
  <c r="B45" i="11"/>
  <c r="B68" i="11"/>
  <c r="B72" i="11"/>
  <c r="B95" i="11"/>
  <c r="B49" i="11"/>
  <c r="C77" i="11"/>
  <c r="C31" i="11"/>
  <c r="C54" i="11"/>
  <c r="K31" i="11"/>
  <c r="K54" i="11"/>
  <c r="K77" i="11"/>
  <c r="D77" i="11"/>
  <c r="D31" i="11"/>
  <c r="D54" i="11"/>
  <c r="L77" i="11"/>
  <c r="L31" i="11"/>
  <c r="L54" i="11"/>
  <c r="B34" i="11"/>
  <c r="B57" i="11"/>
  <c r="B80" i="11"/>
  <c r="B84" i="11"/>
  <c r="B38" i="11"/>
  <c r="B61" i="11"/>
  <c r="B42" i="11"/>
  <c r="B65" i="11"/>
  <c r="B88" i="11"/>
  <c r="B92" i="11"/>
  <c r="B46" i="11"/>
  <c r="B69" i="11"/>
  <c r="B73" i="11"/>
  <c r="B96" i="11"/>
  <c r="K14" i="11"/>
  <c r="K64" i="11"/>
  <c r="K87" i="11"/>
  <c r="C14" i="11"/>
  <c r="C64" i="11"/>
  <c r="C87" i="11"/>
  <c r="J14" i="11"/>
  <c r="J64" i="11"/>
  <c r="J87" i="11"/>
  <c r="I14" i="11"/>
  <c r="I64" i="11"/>
  <c r="I87" i="11"/>
  <c r="H14" i="11"/>
  <c r="H64" i="11"/>
  <c r="H87" i="11"/>
  <c r="L14" i="11"/>
  <c r="L64" i="11"/>
  <c r="L87" i="11"/>
  <c r="G14" i="11"/>
  <c r="G64" i="11"/>
  <c r="G87" i="11"/>
  <c r="F14" i="11"/>
  <c r="F64" i="11"/>
  <c r="F87" i="11"/>
  <c r="D14" i="11"/>
  <c r="D64" i="11"/>
  <c r="D87" i="11"/>
  <c r="E14" i="11"/>
  <c r="E64" i="11"/>
  <c r="E87" i="11"/>
  <c r="C72" i="11"/>
  <c r="J71" i="11"/>
  <c r="J94" i="11"/>
  <c r="C67" i="11"/>
  <c r="C90" i="11"/>
  <c r="E58" i="11"/>
  <c r="E81" i="11"/>
  <c r="I72" i="11"/>
  <c r="I95" i="11"/>
  <c r="L70" i="11"/>
  <c r="L93" i="11"/>
  <c r="D70" i="11"/>
  <c r="D93" i="11"/>
  <c r="H68" i="11"/>
  <c r="H91" i="11"/>
  <c r="L66" i="11"/>
  <c r="L89" i="11"/>
  <c r="D66" i="11"/>
  <c r="D89" i="11"/>
  <c r="K62" i="11"/>
  <c r="K85" i="11"/>
  <c r="G61" i="11"/>
  <c r="G84" i="11"/>
  <c r="H60" i="11"/>
  <c r="H83" i="11"/>
  <c r="L58" i="11"/>
  <c r="L81" i="11"/>
  <c r="D58" i="11"/>
  <c r="D81" i="11"/>
  <c r="J56" i="11"/>
  <c r="J79" i="11"/>
  <c r="C56" i="11"/>
  <c r="J60" i="11"/>
  <c r="J83" i="11"/>
  <c r="H72" i="11"/>
  <c r="H95" i="11"/>
  <c r="K70" i="11"/>
  <c r="K93" i="11"/>
  <c r="C70" i="11"/>
  <c r="E69" i="11"/>
  <c r="E92" i="11"/>
  <c r="G68" i="11"/>
  <c r="G91" i="11"/>
  <c r="I67" i="11"/>
  <c r="I90" i="11"/>
  <c r="K66" i="11"/>
  <c r="K89" i="11"/>
  <c r="C66" i="11"/>
  <c r="C89" i="11"/>
  <c r="E65" i="11"/>
  <c r="E88" i="11"/>
  <c r="J62" i="11"/>
  <c r="J85" i="11"/>
  <c r="F61" i="11"/>
  <c r="F84" i="11"/>
  <c r="G60" i="11"/>
  <c r="G83" i="11"/>
  <c r="I59" i="11"/>
  <c r="I82" i="11"/>
  <c r="K58" i="11"/>
  <c r="K81" i="11"/>
  <c r="C58" i="11"/>
  <c r="C81" i="11"/>
  <c r="I56" i="11"/>
  <c r="I79" i="11"/>
  <c r="C71" i="11"/>
  <c r="C94" i="11"/>
  <c r="H63" i="11"/>
  <c r="H86" i="11"/>
  <c r="F70" i="11"/>
  <c r="F93" i="11"/>
  <c r="F62" i="11"/>
  <c r="F85" i="11"/>
  <c r="L65" i="11"/>
  <c r="L88" i="11"/>
  <c r="F66" i="11"/>
  <c r="F89" i="11"/>
  <c r="F63" i="11"/>
  <c r="F86" i="11"/>
  <c r="J72" i="11"/>
  <c r="J95" i="11"/>
  <c r="G69" i="11"/>
  <c r="G92" i="11"/>
  <c r="K67" i="11"/>
  <c r="K90" i="11"/>
  <c r="G65" i="11"/>
  <c r="G88" i="11"/>
  <c r="L62" i="11"/>
  <c r="L85" i="11"/>
  <c r="I60" i="11"/>
  <c r="I83" i="11"/>
  <c r="K56" i="11"/>
  <c r="K79" i="11"/>
  <c r="G72" i="11"/>
  <c r="G95" i="11"/>
  <c r="L69" i="11"/>
  <c r="L92" i="11"/>
  <c r="D69" i="11"/>
  <c r="D92" i="11"/>
  <c r="H67" i="11"/>
  <c r="H90" i="11"/>
  <c r="D65" i="11"/>
  <c r="D88" i="11"/>
  <c r="E61" i="11"/>
  <c r="E84" i="11"/>
  <c r="H59" i="11"/>
  <c r="H82" i="11"/>
  <c r="L57" i="11"/>
  <c r="L80" i="11"/>
  <c r="H56" i="11"/>
  <c r="H79" i="11"/>
  <c r="I70" i="11"/>
  <c r="I93" i="11"/>
  <c r="K69" i="11"/>
  <c r="K92" i="11"/>
  <c r="C69" i="11"/>
  <c r="C92" i="11"/>
  <c r="E68" i="11"/>
  <c r="E91" i="11"/>
  <c r="G67" i="11"/>
  <c r="G90" i="11"/>
  <c r="I66" i="11"/>
  <c r="I89" i="11"/>
  <c r="K65" i="11"/>
  <c r="K88" i="11"/>
  <c r="C65" i="11"/>
  <c r="C88" i="11"/>
  <c r="E62" i="11"/>
  <c r="E85" i="11"/>
  <c r="D61" i="11"/>
  <c r="D84" i="11"/>
  <c r="E60" i="11"/>
  <c r="E83" i="11"/>
  <c r="G59" i="11"/>
  <c r="G82" i="11"/>
  <c r="I58" i="11"/>
  <c r="I81" i="11"/>
  <c r="J57" i="11"/>
  <c r="J80" i="11"/>
  <c r="G56" i="11"/>
  <c r="G79" i="11"/>
  <c r="J68" i="11"/>
  <c r="J91" i="11"/>
  <c r="L61" i="11"/>
  <c r="L84" i="11"/>
  <c r="E70" i="11"/>
  <c r="E93" i="11"/>
  <c r="E66" i="11"/>
  <c r="E89" i="11"/>
  <c r="C59" i="11"/>
  <c r="M14" i="8"/>
  <c r="E72" i="11"/>
  <c r="E95" i="11"/>
  <c r="J69" i="11"/>
  <c r="J92" i="11"/>
  <c r="F67" i="11"/>
  <c r="F90" i="11"/>
  <c r="J65" i="11"/>
  <c r="J88" i="11"/>
  <c r="D62" i="11"/>
  <c r="D85" i="11"/>
  <c r="F59" i="11"/>
  <c r="F82" i="11"/>
  <c r="K72" i="11"/>
  <c r="K95" i="11"/>
  <c r="F58" i="11"/>
  <c r="F81" i="11"/>
  <c r="I68" i="11"/>
  <c r="I91" i="11"/>
  <c r="J61" i="11"/>
  <c r="J84" i="11"/>
  <c r="K59" i="11"/>
  <c r="K82" i="11"/>
  <c r="E57" i="11"/>
  <c r="E80" i="11"/>
  <c r="G70" i="11"/>
  <c r="G93" i="11"/>
  <c r="I69" i="11"/>
  <c r="I92" i="11"/>
  <c r="K68" i="11"/>
  <c r="K91" i="11"/>
  <c r="C68" i="11"/>
  <c r="E67" i="11"/>
  <c r="E90" i="11"/>
  <c r="G66" i="11"/>
  <c r="G89" i="11"/>
  <c r="I65" i="11"/>
  <c r="I88" i="11"/>
  <c r="C62" i="11"/>
  <c r="C85" i="11"/>
  <c r="K60" i="11"/>
  <c r="K83" i="11"/>
  <c r="C60" i="11"/>
  <c r="E59" i="11"/>
  <c r="E82" i="11"/>
  <c r="G58" i="11"/>
  <c r="G81" i="11"/>
  <c r="D57" i="11"/>
  <c r="D80" i="11"/>
  <c r="D56" i="11"/>
  <c r="D79" i="11"/>
  <c r="L56" i="11"/>
  <c r="L79" i="11"/>
  <c r="F57" i="11"/>
  <c r="F80" i="11"/>
  <c r="H58" i="11"/>
  <c r="H81" i="11"/>
  <c r="J59" i="11"/>
  <c r="J82" i="11"/>
  <c r="D60" i="11"/>
  <c r="D83" i="11"/>
  <c r="L60" i="11"/>
  <c r="L83" i="11"/>
  <c r="H62" i="11"/>
  <c r="H85" i="11"/>
  <c r="F65" i="11"/>
  <c r="F88" i="11"/>
  <c r="H66" i="11"/>
  <c r="H89" i="11"/>
  <c r="J67" i="11"/>
  <c r="J90" i="11"/>
  <c r="D68" i="11"/>
  <c r="D91" i="11"/>
  <c r="L68" i="11"/>
  <c r="L91" i="11"/>
  <c r="F69" i="11"/>
  <c r="F92" i="11"/>
  <c r="H70" i="11"/>
  <c r="H93" i="11"/>
  <c r="D72" i="11"/>
  <c r="D95" i="11"/>
  <c r="L72" i="11"/>
  <c r="L95" i="11"/>
  <c r="F56" i="11"/>
  <c r="F79" i="11"/>
  <c r="J58" i="11"/>
  <c r="J81" i="11"/>
  <c r="D59" i="11"/>
  <c r="D82" i="11"/>
  <c r="L59" i="11"/>
  <c r="L82" i="11"/>
  <c r="F60" i="11"/>
  <c r="F83" i="11"/>
  <c r="H61" i="11"/>
  <c r="H84" i="11"/>
  <c r="H65" i="11"/>
  <c r="H88" i="11"/>
  <c r="J66" i="11"/>
  <c r="J89" i="11"/>
  <c r="D67" i="11"/>
  <c r="D90" i="11"/>
  <c r="L67" i="11"/>
  <c r="L90" i="11"/>
  <c r="F68" i="11"/>
  <c r="F91" i="11"/>
  <c r="H69" i="11"/>
  <c r="H92" i="11"/>
  <c r="J70" i="11"/>
  <c r="J93" i="11"/>
  <c r="F72" i="11"/>
  <c r="F95" i="11"/>
  <c r="I45" i="8"/>
  <c r="I21" i="11"/>
  <c r="K35" i="8"/>
  <c r="K11" i="11"/>
  <c r="C35" i="8"/>
  <c r="C11" i="11"/>
  <c r="K31" i="8"/>
  <c r="K7" i="11"/>
  <c r="C31" i="8"/>
  <c r="C7" i="11"/>
  <c r="E30" i="8"/>
  <c r="E6" i="11"/>
  <c r="H45" i="8"/>
  <c r="H21" i="11"/>
  <c r="G45" i="8"/>
  <c r="G21" i="11"/>
  <c r="I35" i="8"/>
  <c r="I11" i="11"/>
  <c r="I31" i="8"/>
  <c r="I7" i="11"/>
  <c r="F45" i="8"/>
  <c r="F21" i="11"/>
  <c r="H31" i="8"/>
  <c r="H7" i="11"/>
  <c r="I37" i="8"/>
  <c r="I13" i="11"/>
  <c r="E45" i="8"/>
  <c r="E21" i="11"/>
  <c r="G31" i="8"/>
  <c r="G7" i="11"/>
  <c r="L45" i="8"/>
  <c r="L21" i="11"/>
  <c r="D45" i="8"/>
  <c r="D21" i="11"/>
  <c r="J37" i="8"/>
  <c r="J13" i="11"/>
  <c r="K45" i="8"/>
  <c r="K21" i="11"/>
  <c r="N38" i="8"/>
  <c r="N34" i="8"/>
  <c r="G37" i="8"/>
  <c r="G13" i="11"/>
  <c r="I36" i="8"/>
  <c r="I12" i="11"/>
  <c r="E37" i="8"/>
  <c r="E13" i="11"/>
  <c r="G36" i="8"/>
  <c r="G12" i="11"/>
  <c r="L37" i="8"/>
  <c r="L13" i="11"/>
  <c r="D37" i="8"/>
  <c r="D13" i="11"/>
  <c r="K37" i="8"/>
  <c r="K13" i="11"/>
  <c r="C37" i="8"/>
  <c r="C13" i="11"/>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FN4" i="1"/>
  <c r="FO4" i="1"/>
  <c r="FP4" i="1"/>
  <c r="FQ4" i="1"/>
  <c r="FR4" i="1"/>
  <c r="FS4" i="1"/>
  <c r="FT4" i="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M29" i="8"/>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FU17" i="1"/>
  <c r="FT17" i="1"/>
  <c r="FS17" i="1"/>
  <c r="FR17" i="1"/>
  <c r="FQ17" i="1"/>
  <c r="FP17" i="1"/>
  <c r="FO17" i="1"/>
  <c r="FN17" i="1"/>
  <c r="FM17" i="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AE17" i="1"/>
  <c r="AD17" i="1"/>
  <c r="AC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FU16" i="1"/>
  <c r="FT16" i="1"/>
  <c r="FS16" i="1"/>
  <c r="FR16" i="1"/>
  <c r="FQ16" i="1"/>
  <c r="FP16" i="1"/>
  <c r="FO16" i="1"/>
  <c r="FN16" i="1"/>
  <c r="FM16" i="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AE16" i="1"/>
  <c r="AD16" i="1"/>
  <c r="AC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FU14" i="1"/>
  <c r="FT14" i="1"/>
  <c r="FS14" i="1"/>
  <c r="FR14" i="1"/>
  <c r="FQ14" i="1"/>
  <c r="FP14" i="1"/>
  <c r="FO14" i="1"/>
  <c r="FN14" i="1"/>
  <c r="FM14" i="1"/>
  <c r="FL14" i="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AE14" i="1"/>
  <c r="AD14" i="1"/>
  <c r="AC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FU13" i="1"/>
  <c r="FT13" i="1"/>
  <c r="FS13" i="1"/>
  <c r="FR13" i="1"/>
  <c r="FQ13" i="1"/>
  <c r="FP13" i="1"/>
  <c r="FO13" i="1"/>
  <c r="FN13" i="1"/>
  <c r="FM13" i="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AE13" i="1"/>
  <c r="AD13" i="1"/>
  <c r="AC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FU12" i="1"/>
  <c r="FT12" i="1"/>
  <c r="FS12" i="1"/>
  <c r="FR12" i="1"/>
  <c r="FQ12" i="1"/>
  <c r="FP12" i="1"/>
  <c r="FO12" i="1"/>
  <c r="FN12" i="1"/>
  <c r="FM12" i="1"/>
  <c r="FL12" i="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AE12" i="1"/>
  <c r="AD12" i="1"/>
  <c r="AC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FU11" i="1"/>
  <c r="FT11" i="1"/>
  <c r="FS11" i="1"/>
  <c r="FR11" i="1"/>
  <c r="FQ11" i="1"/>
  <c r="FP11" i="1"/>
  <c r="FO11" i="1"/>
  <c r="FN11" i="1"/>
  <c r="FM11" i="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AE11" i="1"/>
  <c r="AD11" i="1"/>
  <c r="AC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FU9" i="1"/>
  <c r="FT9" i="1"/>
  <c r="FS9" i="1"/>
  <c r="FR9" i="1"/>
  <c r="FQ9" i="1"/>
  <c r="FP9" i="1"/>
  <c r="FO9" i="1"/>
  <c r="FN9" i="1"/>
  <c r="FM9" i="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AE9" i="1"/>
  <c r="AD9" i="1"/>
  <c r="AC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FU8" i="1"/>
  <c r="FT8" i="1"/>
  <c r="FS8" i="1"/>
  <c r="FR8" i="1"/>
  <c r="FQ8" i="1"/>
  <c r="FP8" i="1"/>
  <c r="FO8" i="1"/>
  <c r="FN8" i="1"/>
  <c r="FM8" i="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AE8" i="1"/>
  <c r="AD8" i="1"/>
  <c r="AC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FU7" i="1"/>
  <c r="FT7" i="1"/>
  <c r="FS7" i="1"/>
  <c r="FR7" i="1"/>
  <c r="FQ7" i="1"/>
  <c r="FP7" i="1"/>
  <c r="FO7" i="1"/>
  <c r="FN7" i="1"/>
  <c r="FM7" i="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R19" i="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AE7" i="1"/>
  <c r="AD7" i="1"/>
  <c r="AC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M92" i="11"/>
  <c r="M88" i="11"/>
  <c r="M90" i="11"/>
  <c r="D71" i="11"/>
  <c r="D94" i="11"/>
  <c r="I71" i="11"/>
  <c r="I94" i="11"/>
  <c r="E63" i="11"/>
  <c r="E86" i="11"/>
  <c r="L71" i="11"/>
  <c r="L94" i="11"/>
  <c r="G71" i="11"/>
  <c r="G94" i="11"/>
  <c r="M64" i="11"/>
  <c r="G62" i="11"/>
  <c r="G85" i="11"/>
  <c r="I61" i="11"/>
  <c r="I84" i="11"/>
  <c r="M65" i="11"/>
  <c r="I62" i="11"/>
  <c r="I85" i="11"/>
  <c r="G57" i="11"/>
  <c r="G80" i="11"/>
  <c r="H71" i="11"/>
  <c r="H94" i="11"/>
  <c r="M87" i="11"/>
  <c r="M69" i="11"/>
  <c r="M58" i="11"/>
  <c r="M66" i="11"/>
  <c r="G63" i="11"/>
  <c r="G86" i="11"/>
  <c r="E71" i="11"/>
  <c r="E94" i="11"/>
  <c r="E56" i="11"/>
  <c r="E79" i="11"/>
  <c r="M60" i="11"/>
  <c r="M68" i="11"/>
  <c r="M81" i="11"/>
  <c r="M89" i="11"/>
  <c r="M67" i="11"/>
  <c r="C63" i="11"/>
  <c r="C86" i="11"/>
  <c r="O34" i="8"/>
  <c r="O10" i="11"/>
  <c r="N10" i="11"/>
  <c r="I63" i="11"/>
  <c r="I86" i="11"/>
  <c r="C57" i="11"/>
  <c r="C83" i="11"/>
  <c r="M83" i="11"/>
  <c r="C91" i="11"/>
  <c r="M91" i="11"/>
  <c r="M70" i="11"/>
  <c r="K63" i="11"/>
  <c r="K86" i="11"/>
  <c r="O38" i="8"/>
  <c r="O14" i="11"/>
  <c r="N14" i="11"/>
  <c r="H57" i="11"/>
  <c r="H80" i="11"/>
  <c r="K57" i="11"/>
  <c r="K80" i="11"/>
  <c r="C93" i="11"/>
  <c r="M93" i="11"/>
  <c r="C79" i="11"/>
  <c r="D63" i="11"/>
  <c r="D86" i="11"/>
  <c r="K71" i="11"/>
  <c r="K94" i="11"/>
  <c r="F71" i="11"/>
  <c r="F94" i="11"/>
  <c r="C61" i="11"/>
  <c r="M59" i="11"/>
  <c r="M72" i="11"/>
  <c r="L63" i="11"/>
  <c r="L86" i="11"/>
  <c r="J63" i="11"/>
  <c r="J86" i="11"/>
  <c r="I57" i="11"/>
  <c r="I80" i="11"/>
  <c r="K61" i="11"/>
  <c r="K84" i="11"/>
  <c r="C82" i="11"/>
  <c r="M82" i="11"/>
  <c r="C95" i="11"/>
  <c r="M95" i="11"/>
  <c r="N35" i="8"/>
  <c r="N36" i="8"/>
  <c r="N37" i="8"/>
  <c r="J9" i="1"/>
  <c r="J15" i="1"/>
  <c r="J10" i="1"/>
  <c r="J16" i="1"/>
  <c r="J12" i="1"/>
  <c r="DS19" i="1"/>
  <c r="C29" i="8"/>
  <c r="K29" i="8"/>
  <c r="K5" i="11"/>
  <c r="D29" i="8"/>
  <c r="D5" i="11"/>
  <c r="L29" i="8"/>
  <c r="L5" i="11"/>
  <c r="E29" i="8"/>
  <c r="E5" i="11"/>
  <c r="F29" i="8"/>
  <c r="F5" i="11"/>
  <c r="G29" i="8"/>
  <c r="G5" i="11"/>
  <c r="H29" i="8"/>
  <c r="H5" i="11"/>
  <c r="I29" i="8"/>
  <c r="I5" i="11"/>
  <c r="J29" i="8"/>
  <c r="J5" i="1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c r="M85" i="11"/>
  <c r="M79" i="11"/>
  <c r="M62" i="11"/>
  <c r="M56" i="11"/>
  <c r="M61" i="11"/>
  <c r="M86" i="11"/>
  <c r="G55" i="11"/>
  <c r="G73" i="11"/>
  <c r="F55" i="11"/>
  <c r="F73" i="11"/>
  <c r="M71" i="11"/>
  <c r="C84" i="11"/>
  <c r="M84" i="11"/>
  <c r="M94" i="11"/>
  <c r="L55" i="11"/>
  <c r="L73" i="11"/>
  <c r="D55" i="11"/>
  <c r="D73" i="11"/>
  <c r="K55" i="11"/>
  <c r="K73" i="11"/>
  <c r="T88" i="8"/>
  <c r="N13" i="11"/>
  <c r="M63" i="11"/>
  <c r="E55" i="11"/>
  <c r="E73" i="11"/>
  <c r="J55" i="11"/>
  <c r="J73" i="11"/>
  <c r="C48" i="8"/>
  <c r="C5" i="11"/>
  <c r="O36" i="8"/>
  <c r="O12" i="11"/>
  <c r="N12" i="11"/>
  <c r="M57" i="11"/>
  <c r="I55" i="11"/>
  <c r="I73" i="11"/>
  <c r="H55" i="11"/>
  <c r="H73" i="11"/>
  <c r="O35" i="8"/>
  <c r="O11" i="11"/>
  <c r="N11" i="11"/>
  <c r="C80" i="11"/>
  <c r="M80" i="11"/>
  <c r="Z88" i="8"/>
  <c r="AA88" i="8"/>
  <c r="S88" i="8"/>
  <c r="R88" i="8"/>
  <c r="V88" i="8"/>
  <c r="O37" i="8"/>
  <c r="O13" i="11"/>
  <c r="U88" i="8"/>
  <c r="Y88" i="8"/>
  <c r="W88" i="8"/>
  <c r="X88" i="8"/>
  <c r="N32" i="8"/>
  <c r="N8" i="11"/>
  <c r="N30" i="8"/>
  <c r="N6" i="11"/>
  <c r="N43" i="8"/>
  <c r="N19" i="11"/>
  <c r="N44" i="8"/>
  <c r="N20" i="11"/>
  <c r="N40" i="8"/>
  <c r="N16" i="11"/>
  <c r="G48" i="8"/>
  <c r="G24" i="11"/>
  <c r="N33" i="8"/>
  <c r="N9" i="11"/>
  <c r="E48" i="8"/>
  <c r="E24" i="11"/>
  <c r="N41" i="8"/>
  <c r="N17" i="11"/>
  <c r="F48" i="8"/>
  <c r="F24" i="11"/>
  <c r="L48" i="8"/>
  <c r="L24" i="11"/>
  <c r="N31" i="8"/>
  <c r="N7" i="11"/>
  <c r="N45" i="8"/>
  <c r="N21" i="11"/>
  <c r="D48" i="8"/>
  <c r="D24" i="11"/>
  <c r="N42" i="8"/>
  <c r="N18" i="11"/>
  <c r="AC105" i="1" a="1"/>
  <c r="J48" i="8"/>
  <c r="J24" i="11"/>
  <c r="K48" i="8"/>
  <c r="K24" i="11"/>
  <c r="N39" i="8"/>
  <c r="N15" i="11"/>
  <c r="I48" i="8"/>
  <c r="I24" i="11"/>
  <c r="N29" i="8"/>
  <c r="N5" i="11"/>
  <c r="N46" i="8"/>
  <c r="N22" i="11"/>
  <c r="H48" i="8"/>
  <c r="H24" i="11"/>
  <c r="AD82" i="1"/>
  <c r="D5" i="8"/>
  <c r="AC82" i="1"/>
  <c r="C5" i="8"/>
  <c r="AM82" i="1"/>
  <c r="AL82" i="1"/>
  <c r="L5" i="8"/>
  <c r="AG82" i="1"/>
  <c r="G5" i="8"/>
  <c r="AF82" i="1"/>
  <c r="F5" i="8"/>
  <c r="AJ82" i="1"/>
  <c r="J5" i="8"/>
  <c r="AK82" i="1"/>
  <c r="K5" i="8"/>
  <c r="AH82" i="1"/>
  <c r="H5" i="8"/>
  <c r="AI82" i="1"/>
  <c r="I5" i="8"/>
  <c r="K102" i="1"/>
  <c r="I78" i="11"/>
  <c r="I96" i="11"/>
  <c r="F78" i="11"/>
  <c r="F96" i="11"/>
  <c r="J78" i="11"/>
  <c r="J96" i="11"/>
  <c r="L78" i="11"/>
  <c r="L96" i="11"/>
  <c r="C55" i="11"/>
  <c r="C24" i="11"/>
  <c r="H78" i="11"/>
  <c r="H96" i="11"/>
  <c r="K78" i="11"/>
  <c r="K96" i="11"/>
  <c r="D78" i="11"/>
  <c r="D96" i="11"/>
  <c r="E78" i="11"/>
  <c r="E96" i="11"/>
  <c r="G78" i="11"/>
  <c r="G96" i="11"/>
  <c r="V82" i="8"/>
  <c r="W82" i="8"/>
  <c r="X82" i="8"/>
  <c r="T82" i="8"/>
  <c r="Y82" i="8"/>
  <c r="R82" i="8"/>
  <c r="Z82" i="8"/>
  <c r="S82" i="8"/>
  <c r="AA82" i="8"/>
  <c r="U82" i="8"/>
  <c r="T91" i="8"/>
  <c r="U91" i="8"/>
  <c r="AA91" i="8"/>
  <c r="V91" i="8"/>
  <c r="R91" i="8"/>
  <c r="W91" i="8"/>
  <c r="Z91" i="8"/>
  <c r="X91" i="8"/>
  <c r="Y91" i="8"/>
  <c r="S91" i="8"/>
  <c r="T95" i="8"/>
  <c r="Z95" i="8"/>
  <c r="U95" i="8"/>
  <c r="S95" i="8"/>
  <c r="V95" i="8"/>
  <c r="W95" i="8"/>
  <c r="X95" i="8"/>
  <c r="Y95" i="8"/>
  <c r="R95" i="8"/>
  <c r="AA95" i="8"/>
  <c r="R84" i="8"/>
  <c r="Z84" i="8"/>
  <c r="S84" i="8"/>
  <c r="AA84" i="8"/>
  <c r="Y84" i="8"/>
  <c r="T84" i="8"/>
  <c r="U84" i="8"/>
  <c r="X84" i="8"/>
  <c r="V84" i="8"/>
  <c r="W84" i="8"/>
  <c r="X85" i="8"/>
  <c r="Y85" i="8"/>
  <c r="R85" i="8"/>
  <c r="Z85" i="8"/>
  <c r="S85" i="8"/>
  <c r="AA85" i="8"/>
  <c r="T85" i="8"/>
  <c r="U85" i="8"/>
  <c r="V85" i="8"/>
  <c r="W85" i="8"/>
  <c r="V94" i="8"/>
  <c r="W94" i="8"/>
  <c r="X94" i="8"/>
  <c r="T94" i="8"/>
  <c r="Y94" i="8"/>
  <c r="R94" i="8"/>
  <c r="Z94" i="8"/>
  <c r="U94" i="8"/>
  <c r="S94" i="8"/>
  <c r="AA94" i="8"/>
  <c r="X81" i="8"/>
  <c r="Y81" i="8"/>
  <c r="R81" i="8"/>
  <c r="Z81" i="8"/>
  <c r="S81" i="8"/>
  <c r="AA81" i="8"/>
  <c r="W81" i="8"/>
  <c r="T81" i="8"/>
  <c r="U81" i="8"/>
  <c r="V81" i="8"/>
  <c r="R96" i="8"/>
  <c r="Z96" i="8"/>
  <c r="S96" i="8"/>
  <c r="AA96" i="8"/>
  <c r="T96" i="8"/>
  <c r="U96" i="8"/>
  <c r="V96" i="8"/>
  <c r="X96" i="8"/>
  <c r="Y96" i="8"/>
  <c r="W96" i="8"/>
  <c r="V90" i="8"/>
  <c r="T90" i="8"/>
  <c r="W90" i="8"/>
  <c r="X90" i="8"/>
  <c r="Y90" i="8"/>
  <c r="R90" i="8"/>
  <c r="Z90" i="8"/>
  <c r="U90" i="8"/>
  <c r="S90" i="8"/>
  <c r="AA90" i="8"/>
  <c r="T87" i="8"/>
  <c r="R87" i="8"/>
  <c r="U87" i="8"/>
  <c r="Z87" i="8"/>
  <c r="V87" i="8"/>
  <c r="AA87" i="8"/>
  <c r="W87" i="8"/>
  <c r="X87" i="8"/>
  <c r="S87" i="8"/>
  <c r="Y87" i="8"/>
  <c r="X97" i="8"/>
  <c r="Y97" i="8"/>
  <c r="R97" i="8"/>
  <c r="Z97" i="8"/>
  <c r="S97" i="8"/>
  <c r="AA97" i="8"/>
  <c r="V97" i="8"/>
  <c r="W97" i="8"/>
  <c r="T97" i="8"/>
  <c r="U97" i="8"/>
  <c r="R92" i="8"/>
  <c r="Z92" i="8"/>
  <c r="Y92" i="8"/>
  <c r="S92" i="8"/>
  <c r="AA92" i="8"/>
  <c r="T92" i="8"/>
  <c r="U92" i="8"/>
  <c r="V92" i="8"/>
  <c r="X92" i="8"/>
  <c r="W92" i="8"/>
  <c r="X89" i="8"/>
  <c r="Y89" i="8"/>
  <c r="R89" i="8"/>
  <c r="Z89" i="8"/>
  <c r="S89" i="8"/>
  <c r="AA89" i="8"/>
  <c r="W89" i="8"/>
  <c r="T89" i="8"/>
  <c r="U89" i="8"/>
  <c r="V89" i="8"/>
  <c r="V86" i="8"/>
  <c r="U86" i="8"/>
  <c r="W86" i="8"/>
  <c r="X86" i="8"/>
  <c r="T86" i="8"/>
  <c r="Y86" i="8"/>
  <c r="R86" i="8"/>
  <c r="Z86" i="8"/>
  <c r="S86" i="8"/>
  <c r="AA86" i="8"/>
  <c r="X93" i="8"/>
  <c r="Y93" i="8"/>
  <c r="V93" i="8"/>
  <c r="R93" i="8"/>
  <c r="Z93" i="8"/>
  <c r="W93" i="8"/>
  <c r="S93" i="8"/>
  <c r="AA93" i="8"/>
  <c r="T93" i="8"/>
  <c r="U93" i="8"/>
  <c r="T83" i="8"/>
  <c r="R83" i="8"/>
  <c r="U83" i="8"/>
  <c r="V83" i="8"/>
  <c r="AA83" i="8"/>
  <c r="W83" i="8"/>
  <c r="X83" i="8"/>
  <c r="Z83" i="8"/>
  <c r="S83" i="8"/>
  <c r="Y83" i="8"/>
  <c r="O44" i="8"/>
  <c r="O20" i="11"/>
  <c r="I23" i="8"/>
  <c r="M21" i="8"/>
  <c r="O43" i="8"/>
  <c r="O19" i="11"/>
  <c r="O32" i="8"/>
  <c r="O8" i="11"/>
  <c r="O30" i="8"/>
  <c r="O6" i="11"/>
  <c r="E23" i="8"/>
  <c r="L23" i="8"/>
  <c r="O46" i="8"/>
  <c r="O22" i="11"/>
  <c r="M5" i="8"/>
  <c r="C23" i="8"/>
  <c r="O29" i="8"/>
  <c r="O5" i="11"/>
  <c r="X80" i="8"/>
  <c r="V80" i="8"/>
  <c r="W80" i="8"/>
  <c r="R80" i="8"/>
  <c r="U80" i="8"/>
  <c r="T80" i="8"/>
  <c r="Z80" i="8"/>
  <c r="Y80" i="8"/>
  <c r="AA80" i="8"/>
  <c r="S80" i="8"/>
  <c r="O42" i="8"/>
  <c r="O18" i="11"/>
  <c r="H23" i="8"/>
  <c r="D23" i="8"/>
  <c r="O45" i="8"/>
  <c r="O21" i="11"/>
  <c r="O33" i="8"/>
  <c r="O9" i="11"/>
  <c r="M20" i="8"/>
  <c r="K23" i="8"/>
  <c r="M19" i="8"/>
  <c r="O31" i="8"/>
  <c r="O7" i="11"/>
  <c r="J23" i="8"/>
  <c r="AE105" i="1"/>
  <c r="E47" i="8"/>
  <c r="E23" i="11"/>
  <c r="AK105" i="1"/>
  <c r="K47" i="8"/>
  <c r="K23" i="11"/>
  <c r="AJ105" i="1"/>
  <c r="J47" i="8"/>
  <c r="J23" i="11"/>
  <c r="AI105" i="1"/>
  <c r="I47" i="8"/>
  <c r="I23" i="11"/>
  <c r="AH105" i="1"/>
  <c r="H47" i="8"/>
  <c r="H23" i="11"/>
  <c r="AG105" i="1"/>
  <c r="G47" i="8"/>
  <c r="G23" i="11"/>
  <c r="AF105" i="1"/>
  <c r="F47" i="8"/>
  <c r="F23" i="11"/>
  <c r="AD105" i="1"/>
  <c r="D47" i="8"/>
  <c r="D23" i="11"/>
  <c r="AL105" i="1"/>
  <c r="L47" i="8"/>
  <c r="L23" i="11"/>
  <c r="AC105" i="1"/>
  <c r="C47" i="8"/>
  <c r="C23" i="11"/>
  <c r="O41" i="8"/>
  <c r="O17" i="11"/>
  <c r="O40" i="8"/>
  <c r="O16" i="11"/>
  <c r="F23" i="8"/>
  <c r="M18" i="8"/>
  <c r="M22" i="8"/>
  <c r="G23" i="8"/>
  <c r="O39" i="8"/>
  <c r="O15" i="11"/>
  <c r="AJ102" i="1"/>
  <c r="AD102" i="1"/>
  <c r="AG102" i="1"/>
  <c r="AI102" i="1"/>
  <c r="AE102" i="1"/>
  <c r="AK102" i="1"/>
  <c r="AM102" i="1"/>
  <c r="AM104" i="1"/>
  <c r="AH102" i="1"/>
  <c r="AC102" i="1"/>
  <c r="AL102" i="1"/>
  <c r="AF102" i="1"/>
  <c r="AC104" i="1"/>
  <c r="C49" i="8"/>
  <c r="C25" i="11"/>
  <c r="C73" i="11"/>
  <c r="M55" i="11"/>
  <c r="C78" i="11"/>
  <c r="H49" i="8"/>
  <c r="H25" i="11"/>
  <c r="H96" i="8"/>
  <c r="H81" i="8"/>
  <c r="H85" i="8"/>
  <c r="H89" i="8"/>
  <c r="H93" i="8"/>
  <c r="H97" i="8"/>
  <c r="H82" i="8"/>
  <c r="H86" i="8"/>
  <c r="H90" i="8"/>
  <c r="H94" i="8"/>
  <c r="H88" i="8"/>
  <c r="H84" i="8"/>
  <c r="H92" i="8"/>
  <c r="H83" i="8"/>
  <c r="H87" i="8"/>
  <c r="H91" i="8"/>
  <c r="H95" i="8"/>
  <c r="J49" i="8"/>
  <c r="J25" i="11"/>
  <c r="J84" i="8"/>
  <c r="J88" i="8"/>
  <c r="J92" i="8"/>
  <c r="J96" i="8"/>
  <c r="J83" i="8"/>
  <c r="J81" i="8"/>
  <c r="J85" i="8"/>
  <c r="J89" i="8"/>
  <c r="J93" i="8"/>
  <c r="J97" i="8"/>
  <c r="J95" i="8"/>
  <c r="J87" i="8"/>
  <c r="J82" i="8"/>
  <c r="J86" i="8"/>
  <c r="J90" i="8"/>
  <c r="J94" i="8"/>
  <c r="J91" i="8"/>
  <c r="I49" i="8"/>
  <c r="I25" i="11"/>
  <c r="I84" i="8"/>
  <c r="I88" i="8"/>
  <c r="I92" i="8"/>
  <c r="I96" i="8"/>
  <c r="I87" i="8"/>
  <c r="I95" i="8"/>
  <c r="I81" i="8"/>
  <c r="I85" i="8"/>
  <c r="I89" i="8"/>
  <c r="I93" i="8"/>
  <c r="I97" i="8"/>
  <c r="I91" i="8"/>
  <c r="I82" i="8"/>
  <c r="I86" i="8"/>
  <c r="I90" i="8"/>
  <c r="I94" i="8"/>
  <c r="I83" i="8"/>
  <c r="C83" i="8"/>
  <c r="C87" i="8"/>
  <c r="C91" i="8"/>
  <c r="C95" i="8"/>
  <c r="C94" i="8"/>
  <c r="C84" i="8"/>
  <c r="C88" i="8"/>
  <c r="C92" i="8"/>
  <c r="C96" i="8"/>
  <c r="C82" i="8"/>
  <c r="C86" i="8"/>
  <c r="C90" i="8"/>
  <c r="C81" i="8"/>
  <c r="C85" i="8"/>
  <c r="C89" i="8"/>
  <c r="C93" i="8"/>
  <c r="C97" i="8"/>
  <c r="K49" i="8"/>
  <c r="K25" i="11"/>
  <c r="K83" i="8"/>
  <c r="K87" i="8"/>
  <c r="K91" i="8"/>
  <c r="K95" i="8"/>
  <c r="K82" i="8"/>
  <c r="K84" i="8"/>
  <c r="K88" i="8"/>
  <c r="K92" i="8"/>
  <c r="K96" i="8"/>
  <c r="K86" i="8"/>
  <c r="K94" i="8"/>
  <c r="K81" i="8"/>
  <c r="K85" i="8"/>
  <c r="K89" i="8"/>
  <c r="K93" i="8"/>
  <c r="K97" i="8"/>
  <c r="K90" i="8"/>
  <c r="D49" i="8"/>
  <c r="D25" i="11"/>
  <c r="D90" i="8"/>
  <c r="D94" i="8"/>
  <c r="D83" i="8"/>
  <c r="D87" i="8"/>
  <c r="D91" i="8"/>
  <c r="D95" i="8"/>
  <c r="D82" i="8"/>
  <c r="D86" i="8"/>
  <c r="D84" i="8"/>
  <c r="D88" i="8"/>
  <c r="D92" i="8"/>
  <c r="D96" i="8"/>
  <c r="D81" i="8"/>
  <c r="D85" i="8"/>
  <c r="D89" i="8"/>
  <c r="D93" i="8"/>
  <c r="D97" i="8"/>
  <c r="L83" i="8"/>
  <c r="L87" i="8"/>
  <c r="L91" i="8"/>
  <c r="L95" i="8"/>
  <c r="L94" i="8"/>
  <c r="L90" i="8"/>
  <c r="L84" i="8"/>
  <c r="L88" i="8"/>
  <c r="L92" i="8"/>
  <c r="L96" i="8"/>
  <c r="L81" i="8"/>
  <c r="L85" i="8"/>
  <c r="L89" i="8"/>
  <c r="L93" i="8"/>
  <c r="L97" i="8"/>
  <c r="L82" i="8"/>
  <c r="L86" i="8"/>
  <c r="F49" i="8"/>
  <c r="F25" i="11"/>
  <c r="F81" i="8"/>
  <c r="F85" i="8"/>
  <c r="F82" i="8"/>
  <c r="F86" i="8"/>
  <c r="F90" i="8"/>
  <c r="F94" i="8"/>
  <c r="F89" i="8"/>
  <c r="F93" i="8"/>
  <c r="F83" i="8"/>
  <c r="F87" i="8"/>
  <c r="F91" i="8"/>
  <c r="F95" i="8"/>
  <c r="F84" i="8"/>
  <c r="F88" i="8"/>
  <c r="F92" i="8"/>
  <c r="F96" i="8"/>
  <c r="F97" i="8"/>
  <c r="E49" i="8"/>
  <c r="E25" i="11"/>
  <c r="E82" i="8"/>
  <c r="E86" i="8"/>
  <c r="E90" i="8"/>
  <c r="E94" i="8"/>
  <c r="E81" i="8"/>
  <c r="E85" i="8"/>
  <c r="E83" i="8"/>
  <c r="E87" i="8"/>
  <c r="E91" i="8"/>
  <c r="E95" i="8"/>
  <c r="E93" i="8"/>
  <c r="E84" i="8"/>
  <c r="E88" i="8"/>
  <c r="E92" i="8"/>
  <c r="E96" i="8"/>
  <c r="E97" i="8"/>
  <c r="E89" i="8"/>
  <c r="G49" i="8"/>
  <c r="G25" i="11"/>
  <c r="G81" i="8"/>
  <c r="G85" i="8"/>
  <c r="G89" i="8"/>
  <c r="G93" i="8"/>
  <c r="G97" i="8"/>
  <c r="G92" i="8"/>
  <c r="G88" i="8"/>
  <c r="G82" i="8"/>
  <c r="G86" i="8"/>
  <c r="G90" i="8"/>
  <c r="G94" i="8"/>
  <c r="G83" i="8"/>
  <c r="G87" i="8"/>
  <c r="G91" i="8"/>
  <c r="G95" i="8"/>
  <c r="G84" i="8"/>
  <c r="G96" i="8"/>
  <c r="L49" i="8"/>
  <c r="L25" i="11"/>
  <c r="L50" i="8"/>
  <c r="L26" i="11"/>
  <c r="L80" i="8"/>
  <c r="G50" i="8"/>
  <c r="G26" i="11"/>
  <c r="G80" i="8"/>
  <c r="I80" i="8"/>
  <c r="I50" i="8"/>
  <c r="I26" i="11"/>
  <c r="J80" i="8"/>
  <c r="J50" i="8"/>
  <c r="J26" i="11"/>
  <c r="H50" i="8"/>
  <c r="H26" i="11"/>
  <c r="H80" i="8"/>
  <c r="C50" i="8"/>
  <c r="C26" i="11"/>
  <c r="C80" i="8"/>
  <c r="K80" i="8"/>
  <c r="K50" i="8"/>
  <c r="K26" i="11"/>
  <c r="E80" i="8"/>
  <c r="E50" i="8"/>
  <c r="E26" i="11"/>
  <c r="F80" i="8"/>
  <c r="F50" i="8"/>
  <c r="F26" i="11"/>
  <c r="D50" i="8"/>
  <c r="D26" i="11"/>
  <c r="D80" i="8"/>
  <c r="AH104" i="1"/>
  <c r="AK104" i="1"/>
  <c r="AJ104" i="1"/>
  <c r="AG104" i="1"/>
  <c r="AE104" i="1"/>
  <c r="AL104" i="1"/>
  <c r="AD104" i="1"/>
  <c r="AI104" i="1"/>
  <c r="AF104" i="1"/>
  <c r="C96" i="11"/>
  <c r="M78" i="11"/>
</calcChain>
</file>

<file path=xl/sharedStrings.xml><?xml version="1.0" encoding="utf-8"?>
<sst xmlns="http://schemas.openxmlformats.org/spreadsheetml/2006/main" count="7677" uniqueCount="2255">
  <si>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</si>
  <si>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</si>
  <si>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</si>
  <si>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</si>
  <si>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</si>
  <si>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</si>
  <si>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</si>
  <si>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</si>
  <si>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</si>
  <si>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</si>
  <si>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</si>
  <si>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</si>
  <si>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</si>
  <si>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</si>
  <si>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</si>
  <si>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</si>
  <si>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</si>
  <si>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</si>
  <si>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</si>
  <si>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</si>
  <si>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</si>
  <si>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</si>
  <si>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</si>
  <si>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</si>
  <si>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</si>
  <si>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</si>
  <si>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</si>
  <si>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</si>
  <si>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</si>
  <si>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</si>
  <si>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</si>
  <si>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</si>
  <si>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</si>
  <si>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</si>
  <si>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</si>
  <si>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</si>
  <si>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</si>
  <si>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</si>
  <si>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</si>
  <si>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</si>
  <si>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</si>
  <si>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</si>
  <si>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</si>
  <si>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</si>
  <si>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</si>
  <si>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</si>
  <si>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</si>
  <si>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</si>
  <si>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</si>
  <si>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</si>
  <si>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</si>
  <si>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</si>
  <si>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</si>
  <si>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</si>
  <si>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</si>
  <si>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</si>
  <si>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</si>
  <si>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</si>
  <si>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</si>
  <si>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</si>
  <si>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</si>
  <si>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</si>
  <si>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</si>
  <si>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</si>
  <si>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</si>
  <si>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</si>
  <si>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</si>
  <si>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</si>
  <si>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</si>
  <si>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</si>
  <si>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</si>
  <si>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</si>
  <si>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</si>
  <si>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</si>
  <si>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</si>
  <si>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</si>
  <si>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</si>
  <si>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</si>
  <si>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</si>
  <si>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</si>
  <si>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</si>
  <si>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</si>
  <si>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</si>
  <si>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</si>
  <si>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</si>
  <si>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</si>
  <si>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</si>
  <si>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</si>
  <si>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</si>
  <si>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</si>
  <si>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</si>
  <si>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</si>
  <si>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</si>
  <si>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</si>
  <si>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</si>
  <si>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</si>
  <si>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</si>
  <si>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</si>
  <si>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</si>
  <si>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</si>
  <si>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</si>
  <si>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</si>
  <si>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</si>
  <si>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</si>
  <si>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</si>
  <si>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</si>
  <si>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</si>
  <si>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</si>
  <si>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</si>
  <si>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</si>
  <si>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</si>
  <si>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</si>
  <si>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</si>
  <si>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</si>
  <si>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</si>
  <si>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</si>
  <si>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</si>
  <si>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</si>
  <si>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</si>
  <si>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</si>
  <si>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</si>
  <si>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</si>
  <si>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</si>
  <si>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</si>
  <si>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</si>
  <si>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</si>
  <si>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</si>
  <si>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</si>
  <si>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</si>
  <si>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</si>
  <si>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</si>
  <si>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</si>
  <si>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</si>
  <si>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</si>
  <si>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</si>
  <si>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</si>
  <si>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</si>
  <si>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</si>
  <si>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</si>
  <si>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</si>
  <si>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</si>
  <si>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</si>
  <si>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</si>
  <si>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</si>
  <si>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</si>
  <si>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</si>
  <si>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</si>
  <si>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</si>
  <si>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</si>
  <si>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</si>
  <si>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</si>
  <si>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</si>
  <si>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</si>
  <si>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</si>
  <si>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</si>
  <si>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</si>
  <si>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</si>
  <si>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</si>
  <si>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</si>
  <si>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</si>
  <si>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</si>
  <si>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</si>
  <si>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</si>
  <si>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</si>
  <si>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</si>
  <si>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</si>
  <si>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</si>
  <si>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</si>
  <si>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</si>
  <si>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</si>
  <si>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</si>
  <si>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</si>
  <si>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</si>
  <si>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</si>
  <si>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</si>
  <si>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</si>
  <si>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</si>
  <si>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</si>
  <si>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</si>
  <si>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</si>
  <si>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</si>
  <si>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</si>
  <si>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</si>
  <si>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</si>
  <si>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</si>
  <si>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</si>
  <si>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</si>
  <si>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</si>
  <si>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</si>
  <si>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</si>
  <si>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</si>
  <si>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</si>
  <si>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</si>
  <si>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</si>
  <si>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</si>
  <si>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</si>
  <si>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</si>
  <si>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</si>
  <si>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</si>
  <si>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</si>
  <si>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</si>
  <si>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</si>
  <si>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</si>
  <si>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</si>
  <si>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</si>
  <si>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</si>
  <si>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</si>
  <si>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</si>
  <si>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</si>
  <si>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</si>
  <si>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</si>
  <si>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</si>
  <si>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</si>
  <si>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</si>
  <si>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</si>
  <si>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</si>
  <si>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</si>
  <si>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</si>
  <si>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</si>
  <si>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</si>
  <si>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</si>
  <si>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</si>
  <si>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</si>
  <si>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</si>
  <si>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</si>
  <si>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</si>
  <si>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</si>
  <si>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</si>
  <si>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</si>
  <si>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</si>
  <si>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</si>
  <si>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</si>
  <si>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</si>
  <si>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</si>
  <si>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</si>
  <si>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</si>
  <si>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</si>
  <si>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</si>
  <si>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</si>
  <si>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</si>
  <si>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</si>
  <si>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</si>
  <si>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</si>
  <si>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</si>
  <si>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</si>
  <si>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</si>
  <si>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</si>
  <si>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</si>
  <si>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</si>
  <si>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</si>
  <si>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</si>
  <si>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</si>
  <si>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</si>
  <si>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</si>
  <si>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</si>
  <si>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</si>
  <si>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</si>
  <si>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</si>
  <si>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</si>
  <si>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</si>
  <si>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</si>
  <si>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</si>
  <si>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</si>
  <si>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</si>
  <si>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</si>
  <si>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</si>
  <si>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</si>
  <si>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</si>
  <si>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</si>
  <si>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</si>
  <si>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</si>
  <si>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</si>
  <si>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</si>
  <si>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</si>
  <si>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</si>
  <si>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</si>
  <si>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</si>
  <si>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</si>
  <si>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</si>
  <si>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</si>
  <si>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</si>
  <si>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</si>
  <si>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</si>
  <si>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</si>
  <si>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</si>
  <si>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</si>
  <si>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</si>
  <si>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</si>
  <si>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</si>
  <si>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</si>
  <si>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</si>
  <si>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</si>
  <si>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</si>
  <si>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</si>
  <si>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</si>
  <si>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</si>
  <si>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</si>
  <si>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</si>
  <si>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</si>
  <si>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</si>
  <si>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</si>
  <si>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</si>
  <si>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</si>
  <si>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</si>
  <si>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</si>
  <si>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</si>
  <si>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</si>
  <si>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</si>
  <si>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</si>
  <si>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</si>
  <si>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</si>
  <si>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</si>
  <si>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</si>
  <si>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</si>
  <si>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</si>
  <si>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</si>
  <si>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</si>
  <si>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</si>
  <si>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</si>
  <si>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</si>
  <si>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</si>
  <si>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</si>
  <si>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</si>
  <si>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</si>
  <si>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</si>
  <si>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</si>
  <si>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</si>
  <si>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</si>
  <si>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</si>
  <si>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</si>
  <si>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</si>
  <si>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</si>
  <si>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</si>
  <si>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</si>
  <si>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</si>
  <si>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</si>
  <si>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</si>
  <si>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</si>
  <si>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</si>
  <si>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</si>
  <si>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</si>
  <si>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</si>
  <si>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</si>
  <si>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</si>
  <si>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</si>
  <si>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</si>
  <si>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</si>
  <si>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</si>
  <si>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</si>
  <si>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</si>
  <si>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</si>
  <si>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</si>
  <si>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</si>
  <si>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</si>
  <si>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</si>
  <si>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</si>
  <si>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</si>
  <si>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</si>
  <si>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</si>
  <si>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</si>
  <si>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</si>
  <si>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</si>
  <si>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</si>
  <si>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</si>
  <si>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</si>
  <si>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</si>
  <si>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</si>
  <si>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</si>
  <si>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</si>
  <si>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</si>
  <si>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</si>
  <si>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</si>
  <si>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</si>
  <si>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</si>
  <si>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</si>
  <si>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</si>
  <si>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</si>
  <si>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</si>
  <si>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</si>
  <si>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</si>
  <si>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</si>
  <si>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</si>
  <si>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</si>
  <si>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</si>
  <si>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</si>
  <si>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</si>
  <si>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</si>
  <si>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</si>
  <si>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</si>
  <si>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</si>
  <si>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</si>
  <si>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</si>
  <si>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</si>
  <si>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</si>
  <si>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</si>
  <si>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</si>
  <si>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</si>
  <si>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</si>
  <si>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Proportion of CPA in each COICOP</t>
  </si>
  <si>
    <t>CPA Weight in COICOP</t>
  </si>
  <si>
    <t>The area below can be edited to select new or remove proxies used in determining the distributions among deciles.</t>
  </si>
  <si>
    <t>oil</t>
  </si>
  <si>
    <t>gas</t>
  </si>
  <si>
    <t>Paper products, publishing</t>
  </si>
  <si>
    <t>ppp</t>
  </si>
  <si>
    <t>Mineral products nec</t>
  </si>
  <si>
    <t>nmm</t>
  </si>
  <si>
    <t>Metals nec</t>
  </si>
  <si>
    <t>nfm</t>
  </si>
  <si>
    <t>Motor vehicles and parts</t>
  </si>
  <si>
    <t>mvh</t>
  </si>
  <si>
    <t>ele</t>
  </si>
  <si>
    <t>Coal</t>
  </si>
  <si>
    <t>COL</t>
  </si>
  <si>
    <t>CRU</t>
  </si>
  <si>
    <t>Chemical, rubber, plastic products</t>
  </si>
  <si>
    <t>CHM</t>
  </si>
  <si>
    <t>Ferrous metals</t>
  </si>
  <si>
    <t>IRS</t>
  </si>
  <si>
    <t>Transport equipment nec, Electronic equipment, Machinery and equipment nec</t>
  </si>
  <si>
    <t>MAC</t>
  </si>
  <si>
    <t>FOT</t>
  </si>
  <si>
    <t>Minerals nec
Textiles
Wearing apparel
Leather products
Wood products
Metal products
Manufactures nec</t>
  </si>
  <si>
    <t>ROI</t>
  </si>
  <si>
    <t>Construction</t>
  </si>
  <si>
    <t>BUI</t>
  </si>
  <si>
    <t>Transport nec
Water transport
Air transport</t>
  </si>
  <si>
    <t>TRN</t>
  </si>
  <si>
    <t xml:space="preserve">Paddy rice
Wheat
Cereal grains nec
Vegetables, fruit, nuts
Oil seeds
Sugar cane, sugar beet
Plant-based fibers
Crops nec
Bovine cattle, sheep and goats, horses
Animal products nec
Raw milk
Wool, silk-worm cocoons
Forestry
Fishing
</t>
  </si>
  <si>
    <t>AGR</t>
  </si>
  <si>
    <t>SER</t>
  </si>
  <si>
    <t>HH-Dom</t>
  </si>
  <si>
    <t>HH-Imp</t>
  </si>
  <si>
    <t>HH-DomImp</t>
  </si>
  <si>
    <t>1. total expenditure by product equal to current NEWAGE data</t>
  </si>
  <si>
    <t>2. proportions of consumption expenditure among deciles</t>
  </si>
  <si>
    <t>3. proportions between commodities within decile. This part is the least certain due to different classifications, etc., thus it is the last priority. RAS is used for balancing.</t>
  </si>
  <si>
    <t>4. proportions between dom and imp in all deciles are kept equal to total average</t>
  </si>
  <si>
    <t>Original</t>
  </si>
  <si>
    <t>New distribution when only sums are known</t>
  </si>
  <si>
    <t>totals calculated</t>
  </si>
  <si>
    <t>Number of iterations</t>
  </si>
  <si>
    <t>Continue - d, start from the beginning [empty]</t>
  </si>
  <si>
    <t>Transferred corrections</t>
  </si>
  <si>
    <t>d</t>
  </si>
  <si>
    <t>Column corrections</t>
  </si>
  <si>
    <t>Row corrections</t>
  </si>
  <si>
    <t>k</t>
  </si>
  <si>
    <t>HH-Dom share</t>
  </si>
  <si>
    <t>Variablies name</t>
  </si>
  <si>
    <t>Variablies description</t>
  </si>
  <si>
    <t>hh_ident</t>
  </si>
  <si>
    <t>Identification number of the household</t>
  </si>
  <si>
    <t>he00</t>
  </si>
  <si>
    <t>Total consumption expenditure</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</si>
  <si>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</si>
  <si>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</si>
  <si>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</si>
  <si>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</si>
  <si>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</si>
  <si>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</si>
  <si>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</si>
  <si>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</si>
  <si>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</si>
  <si>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</si>
  <si>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</si>
  <si>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</si>
  <si>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</si>
  <si>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</si>
  <si>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</si>
  <si>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</si>
  <si>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</si>
  <si>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</si>
  <si>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</si>
  <si>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</si>
  <si>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</si>
  <si>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</si>
  <si>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</si>
  <si>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</si>
  <si>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</si>
  <si>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</si>
  <si>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</si>
  <si>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</si>
  <si>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</si>
  <si>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</si>
  <si>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</si>
  <si>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</si>
  <si>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</si>
  <si>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</si>
  <si>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</si>
  <si>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</si>
  <si>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</si>
  <si>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</si>
  <si>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</si>
  <si>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</si>
  <si>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</si>
  <si>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</si>
  <si>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</si>
  <si>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</si>
  <si>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</si>
  <si>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</si>
  <si>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</si>
  <si>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</si>
  <si>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</si>
  <si>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</si>
  <si>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</si>
  <si>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</si>
  <si>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</si>
  <si>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</si>
  <si>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</si>
  <si>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</si>
  <si>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</si>
  <si>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</si>
  <si>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</si>
  <si>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</si>
  <si>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</si>
  <si>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</si>
  <si>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</si>
  <si>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</si>
  <si>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</si>
  <si>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</si>
  <si>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</si>
  <si>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</si>
  <si>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</si>
  <si>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</si>
  <si>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</si>
  <si>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</si>
  <si>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</si>
  <si>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</si>
  <si>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</si>
  <si>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</si>
  <si>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</si>
  <si>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</si>
  <si>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</si>
  <si>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</si>
  <si>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</si>
  <si>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</si>
  <si>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</si>
  <si>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</si>
  <si>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</si>
  <si>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</si>
  <si>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</si>
  <si>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</si>
  <si>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</si>
  <si>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</si>
  <si>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</si>
  <si>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</si>
  <si>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</si>
  <si>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</si>
  <si>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</si>
  <si>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</si>
  <si>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</si>
  <si>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</si>
  <si>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</si>
  <si>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</si>
  <si>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</si>
  <si>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</si>
  <si>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</si>
  <si>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</si>
  <si>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</si>
  <si>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</si>
  <si>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</si>
  <si>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</si>
  <si>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</si>
  <si>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</si>
  <si>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</si>
  <si>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</si>
  <si>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</si>
  <si>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</si>
  <si>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</si>
  <si>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</si>
  <si>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</si>
  <si>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</si>
  <si>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</si>
  <si>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</si>
  <si>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</si>
  <si>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</si>
  <si>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</si>
  <si>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</si>
  <si>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</si>
  <si>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</si>
  <si>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</si>
  <si>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</si>
  <si>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</si>
  <si>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</si>
  <si>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</si>
  <si>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</si>
  <si>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</si>
  <si>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</si>
  <si>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</si>
  <si>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</si>
  <si>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</si>
  <si>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</si>
  <si>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</si>
  <si>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</si>
  <si>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</si>
  <si>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</si>
  <si>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</si>
  <si>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</si>
  <si>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</si>
  <si>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</si>
  <si>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</si>
  <si>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</si>
  <si>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</si>
  <si>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</si>
  <si>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</si>
  <si>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</si>
  <si>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</si>
  <si>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</si>
  <si>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</si>
  <si>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</si>
  <si>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</si>
  <si>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</si>
  <si>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</si>
  <si>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</si>
  <si>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</si>
  <si>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</si>
  <si>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</si>
  <si>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</si>
  <si>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</si>
  <si>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</si>
  <si>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</si>
  <si>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</si>
  <si>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</si>
  <si>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</si>
  <si>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</si>
  <si>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</si>
  <si>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</si>
  <si>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</si>
  <si>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</si>
  <si>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</si>
  <si>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</si>
  <si>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</si>
  <si>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</si>
  <si>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</si>
  <si>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</si>
  <si>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</si>
  <si>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</si>
  <si>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</si>
  <si>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</si>
  <si>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</si>
  <si>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</si>
  <si>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Communication</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</si>
  <si>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</si>
  <si>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</si>
  <si>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</si>
  <si>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</si>
  <si>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</si>
  <si>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</si>
  <si>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</si>
  <si>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</si>
  <si>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</si>
  <si>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</si>
  <si>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</si>
  <si>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</si>
  <si>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</si>
  <si>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</si>
  <si>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</si>
  <si>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</si>
  <si>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</si>
  <si>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</si>
  <si>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</si>
  <si>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</si>
  <si>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</si>
  <si>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</si>
  <si>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</si>
  <si>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</si>
  <si>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</si>
  <si>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</si>
  <si>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</si>
  <si>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</si>
  <si>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</si>
  <si>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</si>
  <si>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</si>
  <si>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</si>
  <si>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</si>
  <si>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</si>
  <si>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</si>
  <si>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</si>
  <si>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</si>
  <si>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</si>
  <si>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</si>
  <si>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</si>
  <si>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</si>
  <si>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</si>
  <si>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</si>
  <si>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</si>
  <si>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</si>
  <si>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</si>
  <si>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</si>
  <si>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</si>
  <si>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</si>
  <si>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</si>
  <si>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</si>
  <si>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</si>
  <si>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</si>
  <si>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</si>
  <si>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</si>
  <si>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</si>
  <si>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</si>
  <si>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</si>
  <si>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</si>
  <si>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</si>
  <si>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</si>
  <si>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</si>
  <si>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</si>
  <si>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</si>
  <si>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</si>
  <si>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</si>
  <si>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</si>
  <si>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</si>
  <si>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</si>
  <si>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</si>
  <si>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</si>
  <si>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</si>
  <si>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</si>
  <si>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</si>
  <si>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</si>
  <si>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</si>
  <si>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</si>
  <si>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</si>
  <si>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</si>
  <si>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</si>
  <si>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</si>
  <si>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</si>
  <si>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</si>
  <si>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</si>
  <si>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</si>
  <si>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</si>
  <si>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</si>
  <si>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</si>
  <si>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</si>
  <si>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</si>
  <si>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</si>
  <si>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</si>
  <si>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</si>
  <si>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</si>
  <si>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</si>
  <si>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</si>
  <si>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</si>
  <si>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</si>
  <si>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</si>
  <si>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</si>
  <si>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</si>
  <si>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</si>
  <si>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</si>
  <si>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</si>
  <si>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</si>
  <si>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</si>
  <si>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</si>
  <si>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</si>
  <si>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</si>
  <si>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</si>
  <si>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</si>
  <si>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</si>
  <si>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</si>
  <si>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</si>
  <si>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</si>
  <si>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</si>
  <si>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</si>
  <si>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</si>
  <si>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</si>
  <si>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Insurance</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</si>
  <si>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</si>
  <si>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</si>
  <si>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</si>
  <si>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</si>
  <si>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</si>
  <si>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</si>
  <si>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</si>
  <si>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</si>
  <si>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</si>
  <si>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</si>
  <si>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</si>
  <si>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</si>
  <si>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</si>
  <si>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</si>
  <si>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</si>
  <si>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</si>
  <si>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</si>
  <si>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</si>
  <si>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</si>
  <si>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</si>
  <si>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Converter - CPA to COICOP</t>
  </si>
  <si>
    <t>Basic converter and totals</t>
  </si>
  <si>
    <t>COICOP</t>
  </si>
  <si>
    <t>CPA</t>
  </si>
  <si>
    <t>01.1.1</t>
  </si>
  <si>
    <t>01.1.2</t>
  </si>
  <si>
    <t>01.1.3</t>
  </si>
  <si>
    <t>10.2-3</t>
  </si>
  <si>
    <t>01.1.4</t>
  </si>
  <si>
    <t>01.1.5</t>
  </si>
  <si>
    <t>01.1.6</t>
  </si>
  <si>
    <t>01.1.7</t>
  </si>
  <si>
    <t>01.1.8</t>
  </si>
  <si>
    <t>01.1.9</t>
  </si>
  <si>
    <t>01.2.1</t>
  </si>
  <si>
    <t>01.2.2</t>
  </si>
  <si>
    <t>02.1.1</t>
  </si>
  <si>
    <t>11.01-6</t>
  </si>
  <si>
    <t>02.1.2</t>
  </si>
  <si>
    <t>02.1.3</t>
  </si>
  <si>
    <t>EUR_HE22</t>
  </si>
  <si>
    <t>EUR_HE23</t>
  </si>
  <si>
    <t>03.1.1</t>
  </si>
  <si>
    <t>03.1.2</t>
  </si>
  <si>
    <t>03.1.3</t>
  </si>
  <si>
    <t>03.1.4</t>
  </si>
  <si>
    <t>03.2.1</t>
  </si>
  <si>
    <t>03.2.2</t>
  </si>
  <si>
    <t>04.1.1</t>
  </si>
  <si>
    <t>68.1-2</t>
  </si>
  <si>
    <t>04.1.2</t>
  </si>
  <si>
    <t>04.2.1</t>
  </si>
  <si>
    <t>68.2IMP</t>
  </si>
  <si>
    <t>04.2.2</t>
  </si>
  <si>
    <t>04.3.1</t>
  </si>
  <si>
    <t>23OTHER</t>
  </si>
  <si>
    <t>23.5-6</t>
  </si>
  <si>
    <t>24.4-5</t>
  </si>
  <si>
    <t>25OTHER</t>
  </si>
  <si>
    <t>04.3.2</t>
  </si>
  <si>
    <t>04.4.1</t>
  </si>
  <si>
    <t>04.4.2</t>
  </si>
  <si>
    <t>04.4.3</t>
  </si>
  <si>
    <t>04.4.4</t>
  </si>
  <si>
    <t>04.5.1</t>
  </si>
  <si>
    <t>04.5.2</t>
  </si>
  <si>
    <t>35.2-3</t>
  </si>
  <si>
    <t>04.5.3</t>
  </si>
  <si>
    <t>04.5.4</t>
  </si>
  <si>
    <t>04.5.5</t>
  </si>
  <si>
    <t>05.1.1</t>
  </si>
  <si>
    <t>05.1.2</t>
  </si>
  <si>
    <t>05.1.3</t>
  </si>
  <si>
    <t>EUR_HE52</t>
  </si>
  <si>
    <t>05.3.1</t>
  </si>
  <si>
    <t>05.3.2</t>
  </si>
  <si>
    <t>05.3.3</t>
  </si>
  <si>
    <t>EUR_HE54</t>
  </si>
  <si>
    <t>05.5.1</t>
  </si>
  <si>
    <t>05.5.2</t>
  </si>
  <si>
    <t>05.6.1</t>
  </si>
  <si>
    <t>05.6.2</t>
  </si>
  <si>
    <t>06.1.1</t>
  </si>
  <si>
    <t>06.1.2</t>
  </si>
  <si>
    <t>06.1.3</t>
  </si>
  <si>
    <t>30OTHER</t>
  </si>
  <si>
    <t>06.2.1</t>
  </si>
  <si>
    <t>06.2.2</t>
  </si>
  <si>
    <t>06.2.3</t>
  </si>
  <si>
    <t>EUR_HE63</t>
  </si>
  <si>
    <t>07.1.1</t>
  </si>
  <si>
    <t>07.1.2</t>
  </si>
  <si>
    <t>07.1.3</t>
  </si>
  <si>
    <t>07.2.1</t>
  </si>
  <si>
    <t>07.2.2</t>
  </si>
  <si>
    <t>07.2.3</t>
  </si>
  <si>
    <t>07.2.4</t>
  </si>
  <si>
    <t>07.3.1</t>
  </si>
  <si>
    <t>49.1-2</t>
  </si>
  <si>
    <t>49.3-5</t>
  </si>
  <si>
    <t>07.3.2</t>
  </si>
  <si>
    <t>07.3.3</t>
  </si>
  <si>
    <t>07.3.4</t>
  </si>
  <si>
    <t>07.3.6</t>
  </si>
  <si>
    <t>EUR_HE81</t>
  </si>
  <si>
    <t>EUR_HE82</t>
  </si>
  <si>
    <t>EUR_HE83</t>
  </si>
  <si>
    <t>09.1.1</t>
  </si>
  <si>
    <t>09.1.2</t>
  </si>
  <si>
    <t>09.1.3</t>
  </si>
  <si>
    <t>09.1.4</t>
  </si>
  <si>
    <t>09.1.5</t>
  </si>
  <si>
    <t>09.2.1</t>
  </si>
  <si>
    <t>09.2.2</t>
  </si>
  <si>
    <t>09.2.3</t>
  </si>
  <si>
    <t>09.3.1</t>
  </si>
  <si>
    <t>09.3.2</t>
  </si>
  <si>
    <t>09.3.3</t>
  </si>
  <si>
    <t>20A</t>
  </si>
  <si>
    <t>20C</t>
  </si>
  <si>
    <t>09.3.4</t>
  </si>
  <si>
    <t>09.3.5</t>
  </si>
  <si>
    <t>09.4.1</t>
  </si>
  <si>
    <t>09.4.2</t>
  </si>
  <si>
    <t>09.4.3</t>
  </si>
  <si>
    <t>09.5.1</t>
  </si>
  <si>
    <t>09.5.2</t>
  </si>
  <si>
    <t>09.5.3</t>
  </si>
  <si>
    <t>09.5.4</t>
  </si>
  <si>
    <t>EUR_HE96</t>
  </si>
  <si>
    <t>11.1.1</t>
  </si>
  <si>
    <t>11.1.2</t>
  </si>
  <si>
    <t>12.1.1</t>
  </si>
  <si>
    <t>12.1.2</t>
  </si>
  <si>
    <t>12.1.3</t>
  </si>
  <si>
    <t>12.3.1</t>
  </si>
  <si>
    <t>12.3.2</t>
  </si>
  <si>
    <t>EUR_HE1251</t>
  </si>
  <si>
    <t>12.5.1</t>
  </si>
  <si>
    <t>65.1-2</t>
  </si>
  <si>
    <t>12.5.2</t>
  </si>
  <si>
    <t>12.5.3</t>
  </si>
  <si>
    <t>12.5.4</t>
  </si>
  <si>
    <t>12.5.5</t>
  </si>
  <si>
    <t>EUR_HE1261</t>
  </si>
  <si>
    <t>12.6.1</t>
  </si>
  <si>
    <t>12.6.2</t>
  </si>
  <si>
    <t>Pavadinimas / Name:</t>
  </si>
  <si>
    <t>Individualaus vartojimo išlaidų pagal paskirtį klasifikatorius</t>
  </si>
  <si>
    <t>Classification of Individual Consumption by Purpose</t>
  </si>
  <si>
    <t>Pavadinimo santrumpa / Abbreviation:</t>
  </si>
  <si>
    <t>Klasifikatoriaus versija / Version of the classification:</t>
  </si>
  <si>
    <t>COICOP1</t>
  </si>
  <si>
    <t>Galioja nuo / Valid from</t>
  </si>
  <si>
    <t>1999-03-01</t>
  </si>
  <si>
    <t>ID</t>
  </si>
  <si>
    <t>Kodas / Code</t>
  </si>
  <si>
    <t>Lygmuo / Level</t>
  </si>
  <si>
    <t>Lygmens pavadinimas</t>
  </si>
  <si>
    <t>Level name</t>
  </si>
  <si>
    <t>Pavadinimas</t>
  </si>
  <si>
    <t>Description</t>
  </si>
  <si>
    <t>Aiškinamosios pastabos</t>
  </si>
  <si>
    <t>Explanatory notes</t>
  </si>
  <si>
    <t>1</t>
  </si>
  <si>
    <t>01.</t>
  </si>
  <si>
    <t>Skyrius</t>
  </si>
  <si>
    <t>Division</t>
  </si>
  <si>
    <r>
      <rPr>
        <sz val="8"/>
        <color indexed="8"/>
        <rFont val="SegoeUI"/>
      </rPr>
      <t>MAISTAS IR NEALKOHOLINIAI GĖRIMAI</t>
    </r>
  </si>
  <si>
    <r>
      <rPr>
        <sz val="8"/>
        <color indexed="8"/>
        <rFont val="SegoeUI"/>
      </rPr>
      <t>FOOD AND NON-ALCOHOLIC BEVERAGES</t>
    </r>
  </si>
  <si>
    <t/>
  </si>
  <si>
    <t>2</t>
  </si>
  <si>
    <t>01.1</t>
  </si>
  <si>
    <t>Grupė</t>
  </si>
  <si>
    <t>Group</t>
  </si>
  <si>
    <r>
      <rPr>
        <sz val="8"/>
        <color indexed="8"/>
        <rFont val="SegoeUI"/>
      </rPr>
      <t>MAISTAS</t>
    </r>
  </si>
  <si>
    <r>
      <rPr>
        <sz val="8"/>
        <color indexed="8"/>
        <rFont val="SegoeUI"/>
      </rPr>
      <t>FOOD</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</si>
  <si>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</si>
  <si>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</si>
  <si>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t>3</t>
  </si>
  <si>
    <t>Klasė</t>
  </si>
  <si>
    <t>Class</t>
  </si>
  <si>
    <r>
      <rPr>
        <sz val="8"/>
        <color indexed="8"/>
        <rFont val="SegoeUI"/>
      </rPr>
      <t>Duona ir grūdų produktai (ND)</t>
    </r>
  </si>
  <si>
    <r>
      <rPr>
        <sz val="8"/>
        <color indexed="8"/>
        <rFont val="SegoeUI"/>
      </rPr>
      <t>Bread and cereals (ND)</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</si>
  <si>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</si>
  <si>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</si>
  <si>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t>4</t>
  </si>
  <si>
    <r>
      <rPr>
        <sz val="8"/>
        <color indexed="8"/>
        <rFont val="SegoeUI"/>
      </rPr>
      <t>Mėsa (ND)</t>
    </r>
  </si>
  <si>
    <r>
      <rPr>
        <sz val="8"/>
        <color indexed="8"/>
        <rFont val="SegoeUI"/>
      </rPr>
      <t>Meat (ND)</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</si>
  <si>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</si>
  <si>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</si>
  <si>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t>5</t>
  </si>
  <si>
    <r>
      <rPr>
        <sz val="8"/>
        <color indexed="8"/>
        <rFont val="SegoeUI"/>
      </rPr>
      <t>Žuvis (ND)</t>
    </r>
  </si>
  <si>
    <r>
      <rPr>
        <sz val="8"/>
        <color indexed="8"/>
        <rFont val="SegoeUI"/>
      </rPr>
      <t>Fish (ND)</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</si>
  <si>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</si>
  <si>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</si>
  <si>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t>6</t>
  </si>
  <si>
    <r>
      <rPr>
        <sz val="8"/>
        <color indexed="8"/>
        <rFont val="SegoeUI"/>
      </rPr>
      <t>Pienas, sūris ir kiaušiniai (ND)</t>
    </r>
  </si>
  <si>
    <r>
      <rPr>
        <sz val="8"/>
        <color indexed="8"/>
        <rFont val="SegoeUI"/>
      </rPr>
      <t>Milk, cheese and eggs (ND)</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</si>
  <si>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</si>
  <si>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</si>
  <si>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t>7</t>
  </si>
  <si>
    <r>
      <rPr>
        <sz val="8"/>
        <color indexed="8"/>
        <rFont val="SegoeUI"/>
      </rPr>
      <t>Aliejai ir riebalai (ND)</t>
    </r>
  </si>
  <si>
    <r>
      <rPr>
        <sz val="8"/>
        <color indexed="8"/>
        <rFont val="SegoeUI"/>
      </rPr>
      <t>Oils and fats (ND)</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</si>
  <si>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</si>
  <si>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</si>
  <si>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t>8</t>
  </si>
  <si>
    <r>
      <rPr>
        <sz val="8"/>
        <color indexed="8"/>
        <rFont val="SegoeUI"/>
      </rPr>
      <t>Vaisiai (ND)</t>
    </r>
  </si>
  <si>
    <r>
      <rPr>
        <sz val="8"/>
        <color indexed="8"/>
        <rFont val="SegoeUI"/>
      </rPr>
      <t>Fruit (ND)</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</si>
  <si>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</si>
  <si>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</si>
  <si>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t>9</t>
  </si>
  <si>
    <r>
      <rPr>
        <sz val="8"/>
        <color indexed="8"/>
        <rFont val="SegoeUI"/>
      </rPr>
      <t>Daržovės (ND)</t>
    </r>
  </si>
  <si>
    <r>
      <rPr>
        <sz val="8"/>
        <color indexed="8"/>
        <rFont val="SegoeUI"/>
      </rPr>
      <t>Vegetables (ND)</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</si>
  <si>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</si>
  <si>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</si>
  <si>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t>10</t>
  </si>
  <si>
    <r>
      <rPr>
        <sz val="8"/>
        <color indexed="8"/>
        <rFont val="SegoeUI"/>
      </rPr>
      <t>Cukrus, uogienė, medus, šokoladas ir saldumynai (ND)</t>
    </r>
  </si>
  <si>
    <r>
      <rPr>
        <sz val="8"/>
        <color indexed="8"/>
        <rFont val="SegoeUI"/>
      </rPr>
      <t>Sugar, jam, honey, chocolate and confectionery (ND)</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</si>
  <si>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</si>
  <si>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</si>
  <si>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t>11</t>
  </si>
  <si>
    <r>
      <rPr>
        <sz val="8"/>
        <color indexed="8"/>
        <rFont val="SegoeUI"/>
      </rPr>
      <t>Niekur kitur nepriskirti maisto produktai (ND)</t>
    </r>
  </si>
  <si>
    <r>
      <rPr>
        <sz val="8"/>
        <color indexed="8"/>
        <rFont val="SegoeUI"/>
      </rPr>
      <t>Food products n.e.c. (ND)</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</si>
  <si>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</si>
  <si>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</si>
  <si>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t>12</t>
  </si>
  <si>
    <t>01.2</t>
  </si>
  <si>
    <r>
      <rPr>
        <sz val="8"/>
        <color indexed="8"/>
        <rFont val="SegoeUI"/>
      </rPr>
      <t>NEALKOHOLINIAI GĖRIMAI</t>
    </r>
  </si>
  <si>
    <r>
      <rPr>
        <sz val="8"/>
        <color indexed="8"/>
        <rFont val="SegoeUI"/>
      </rPr>
      <t>NON-ALCOHOLIC BEVERAGES</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</si>
  <si>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</si>
  <si>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</si>
  <si>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t>13</t>
  </si>
  <si>
    <r>
      <rPr>
        <sz val="8"/>
        <color indexed="8"/>
        <rFont val="SegoeUI"/>
      </rPr>
      <t>Kava, arbata ir kakava (ND)</t>
    </r>
  </si>
  <si>
    <r>
      <rPr>
        <sz val="8"/>
        <color indexed="8"/>
        <rFont val="SegoeUI"/>
      </rPr>
      <t>Coffee, tea and cocoa (ND)</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</si>
  <si>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</si>
  <si>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</si>
  <si>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t>14</t>
  </si>
  <si>
    <r>
      <rPr>
        <sz val="8"/>
        <color indexed="8"/>
        <rFont val="SegoeUI"/>
      </rPr>
      <t>Mineraliniai vandenys, gaivieji gėrimai ir sultys (ND)</t>
    </r>
  </si>
  <si>
    <r>
      <rPr>
        <sz val="8"/>
        <color indexed="8"/>
        <rFont val="SegoeUI"/>
      </rPr>
      <t>Mineral waters, soft drinks, fruit and vegetable juices (ND)</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</si>
  <si>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</si>
  <si>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</si>
  <si>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t>15</t>
  </si>
  <si>
    <t>02.</t>
  </si>
  <si>
    <r>
      <rPr>
        <sz val="8"/>
        <color indexed="8"/>
        <rFont val="SegoeUI"/>
      </rPr>
      <t>ALKOHOLINIAI GĖRIMAI, TABAKAS IR NARKOTIKAI</t>
    </r>
  </si>
  <si>
    <r>
      <rPr>
        <sz val="8"/>
        <color indexed="8"/>
        <rFont val="SegoeUI"/>
      </rPr>
      <t>ALCOHOLIC BEVERAGES, TOBACCO AND NARCOTICS</t>
    </r>
  </si>
  <si>
    <t>16</t>
  </si>
  <si>
    <t>02.1</t>
  </si>
  <si>
    <r>
      <rPr>
        <sz val="8"/>
        <color indexed="8"/>
        <rFont val="SegoeUI"/>
      </rPr>
      <t>ALKOHOLINIAI GĖRIMAI</t>
    </r>
  </si>
  <si>
    <r>
      <rPr>
        <sz val="8"/>
        <color indexed="8"/>
        <rFont val="SegoeUI"/>
      </rPr>
      <t>ALCOHOLIC BEVERAGES</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</si>
  <si>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</si>
  <si>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</si>
  <si>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t>17</t>
  </si>
  <si>
    <r>
      <rPr>
        <sz val="8"/>
        <color indexed="8"/>
        <rFont val="SegoeUI"/>
      </rPr>
      <t>Spirituoti gėrimai (ND)</t>
    </r>
  </si>
  <si>
    <r>
      <rPr>
        <sz val="8"/>
        <color indexed="8"/>
        <rFont val="SegoeUI"/>
      </rPr>
      <t>Spirits (ND)</t>
    </r>
  </si>
  <si>
    <r>
      <rPr>
        <sz val="8"/>
        <color indexed="8"/>
        <rFont val="SegoeUI"/>
      </rPr>
      <t>- Brendžiai, likeriai ir kiti spirituoti gėrimai. Apima: midus; aperityvai, išskyrus tuos, kurių pagrindą sudaro vynas (02.1.2)</t>
    </r>
  </si>
  <si>
    <r>
      <rPr>
        <sz val="8"/>
        <color indexed="8"/>
        <rFont val="SegoeUI"/>
      </rPr>
      <t>- Eaux-de-vie, liqueurs and other spirits. Includes: mead; aperitifs other than wine-based aperitifs (02.1.2).</t>
    </r>
  </si>
  <si>
    <t>18</t>
  </si>
  <si>
    <r>
      <rPr>
        <sz val="8"/>
        <color indexed="8"/>
        <rFont val="SegoeUI"/>
      </rPr>
      <t>Vynas (ND)</t>
    </r>
  </si>
  <si>
    <r>
      <rPr>
        <sz val="8"/>
        <color indexed="8"/>
        <rFont val="SegoeUI"/>
      </rPr>
      <t>Wine (ND)</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</si>
  <si>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</si>
  <si>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 Wine, cider and perry, including sake; - wine-based aperitifs, fortified wines, champagne and other sparkling wines.</t>
    </r>
  </si>
  <si>
    <t>19</t>
  </si>
  <si>
    <r>
      <rPr>
        <sz val="8"/>
        <color indexed="8"/>
        <rFont val="SegoeUI"/>
      </rPr>
      <t>Alus (ND)</t>
    </r>
  </si>
  <si>
    <r>
      <rPr>
        <sz val="8"/>
        <color indexed="8"/>
        <rFont val="SegoeUI"/>
      </rPr>
      <t>Beer (ND)</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</si>
  <si>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</si>
  <si>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 All kinds of beer such as ale, lager and porter. Includes: low-alcoholic beer and non-alcoholic beer; shandy.</t>
    </r>
  </si>
  <si>
    <t>20</t>
  </si>
  <si>
    <t>02.2</t>
  </si>
  <si>
    <r>
      <rPr>
        <sz val="8"/>
        <color indexed="8"/>
        <rFont val="SegoeUI"/>
      </rPr>
      <t>TABAKAS</t>
    </r>
  </si>
  <si>
    <r>
      <rPr>
        <sz val="8"/>
        <color indexed="8"/>
        <rFont val="SegoeUI"/>
      </rPr>
      <t>TOBACCO</t>
    </r>
  </si>
  <si>
    <r>
      <rPr>
        <sz val="8"/>
        <color indexed="8"/>
        <rFont val="SegoeUI"/>
      </rPr>
      <t>Į šią grupę įeina visoks tabako pirkimas namų poreikiams, įskaitant tabako pirkimą kavinėse, baruose, restoranuose, degalinėse ir kt.</t>
    </r>
  </si>
  <si>
    <r>
      <rPr>
        <sz val="8"/>
        <color indexed="8"/>
        <rFont val="SegoeUI"/>
      </rPr>
      <t>This group covers all purchases of tobacco by households, including purchases of tobacco in restaurants, cafés, bars, service stations, etc.</t>
    </r>
  </si>
  <si>
    <t>EUR_HE0220</t>
  </si>
  <si>
    <t>21</t>
  </si>
  <si>
    <t>02.2.0</t>
  </si>
  <si>
    <r>
      <rPr>
        <sz val="8"/>
        <color indexed="8"/>
        <rFont val="SegoeUI"/>
      </rPr>
      <t>Tabakas (ND)</t>
    </r>
  </si>
  <si>
    <r>
      <rPr>
        <sz val="8"/>
        <color indexed="8"/>
        <rFont val="SegoeUI"/>
      </rPr>
      <t>Tobacco (ND)</t>
    </r>
  </si>
  <si>
    <r>
      <rPr>
        <sz val="8"/>
        <color indexed="8"/>
        <rFont val="SegoeUI"/>
      </rPr>
      <t>- Cigaretės, cigarečių tabakas ir cigarečių popierius; - cigarai, pypkinis, kramtomasis ar uostomasis tabakas. Neapima: kitos rūkymui reikalingos prekės (12.3.2).</t>
    </r>
  </si>
  <si>
    <r>
      <rPr>
        <sz val="8"/>
        <color indexed="8"/>
        <rFont val="SegoeUI"/>
      </rPr>
      <t>- Cigarettes; cigarette tobacco and cigarette papers; - cigars, pipe tobacco, chewing tobacco or snuff. Excludes: other smokers' articles (12.3.2).</t>
    </r>
  </si>
  <si>
    <t>22</t>
  </si>
  <si>
    <t>02.3</t>
  </si>
  <si>
    <r>
      <rPr>
        <sz val="8"/>
        <color indexed="8"/>
        <rFont val="SegoeUI"/>
      </rPr>
      <t>NARKOTIKAI</t>
    </r>
  </si>
  <si>
    <r>
      <rPr>
        <sz val="8"/>
        <color indexed="8"/>
        <rFont val="SegoeUI"/>
      </rPr>
      <t>NARCOTICS</t>
    </r>
  </si>
  <si>
    <t>EUR_HE0230</t>
  </si>
  <si>
    <t>23</t>
  </si>
  <si>
    <t>02.3.0</t>
  </si>
  <si>
    <r>
      <rPr>
        <sz val="8"/>
        <color indexed="8"/>
        <rFont val="SegoeUI"/>
      </rPr>
      <t>Narkotikai (ND)</t>
    </r>
  </si>
  <si>
    <r>
      <rPr>
        <sz val="8"/>
        <color indexed="8"/>
        <rFont val="SegoeUI"/>
      </rPr>
      <t>Narcotics (ND)</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</si>
  <si>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</si>
  <si>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 Marijuana, opium, cocaine and their derivatives; - other vegetable-based narcotics such as cola nuts, betel leaves and betel nuts; - other narcotics including chemicals and man-made drugs.</t>
    </r>
  </si>
  <si>
    <t>24</t>
  </si>
  <si>
    <t>03.</t>
  </si>
  <si>
    <r>
      <rPr>
        <sz val="8"/>
        <color indexed="8"/>
        <rFont val="SegoeUI"/>
      </rPr>
      <t>APRANGA IR AVALYNĖ</t>
    </r>
  </si>
  <si>
    <r>
      <rPr>
        <sz val="8"/>
        <color indexed="8"/>
        <rFont val="SegoeUI"/>
      </rPr>
      <t>CLOTHING AND FOOTWEAR</t>
    </r>
  </si>
  <si>
    <t>25</t>
  </si>
  <si>
    <t>03.1</t>
  </si>
  <si>
    <r>
      <rPr>
        <sz val="8"/>
        <color indexed="8"/>
        <rFont val="SegoeUI"/>
      </rPr>
      <t>APRANGA</t>
    </r>
  </si>
  <si>
    <r>
      <rPr>
        <sz val="8"/>
        <color indexed="8"/>
        <rFont val="SegoeUI"/>
      </rPr>
      <t>CLOTHING</t>
    </r>
  </si>
  <si>
    <t>26</t>
  </si>
  <si>
    <r>
      <rPr>
        <sz val="8"/>
        <color indexed="8"/>
        <rFont val="SegoeUI"/>
      </rPr>
      <t>Aprangos medžiagos (SD)</t>
    </r>
  </si>
  <si>
    <r>
      <rPr>
        <sz val="8"/>
        <color indexed="8"/>
        <rFont val="SegoeUI"/>
      </rPr>
      <t>Clothing materials (SD)</t>
    </r>
  </si>
  <si>
    <r>
      <rPr>
        <sz val="8"/>
        <color indexed="8"/>
        <rFont val="SegoeUI"/>
      </rPr>
      <t>- Medžiagos iš natūralių pluoštų, cheminių pluoštų ar iš natūralių ir cheminių pluoštų mišinių. Neapima: medžiagos baldams aptraukti (05.2.0).</t>
    </r>
  </si>
  <si>
    <r>
      <rPr>
        <sz val="8"/>
        <color indexed="8"/>
        <rFont val="SegoeUI"/>
      </rPr>
      <t>- Clothing materials of natural fibres, of man-made fibres and of their mixtures. Excludes: furnishing fabrics (05.2.0).</t>
    </r>
  </si>
  <si>
    <t>27</t>
  </si>
  <si>
    <r>
      <rPr>
        <sz val="8"/>
        <color indexed="8"/>
        <rFont val="SegoeUI"/>
      </rPr>
      <t>Drabužiai (SD)</t>
    </r>
  </si>
  <si>
    <r>
      <rPr>
        <sz val="8"/>
        <color indexed="8"/>
        <rFont val="SegoeUI"/>
      </rPr>
      <t>Garments (SD)</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</si>
  <si>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</si>
  <si>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</si>
  <si>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t>28</t>
  </si>
  <si>
    <r>
      <rPr>
        <sz val="8"/>
        <color indexed="8"/>
        <rFont val="SegoeUI"/>
      </rPr>
      <t>Kiti aprangos gaminiai ir aprangos reikmenys (SD)</t>
    </r>
  </si>
  <si>
    <r>
      <rPr>
        <sz val="8"/>
        <color indexed="8"/>
        <rFont val="SegoeUI"/>
      </rPr>
      <t>Other articles of clothing and clothing accessories (SD)</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</si>
  <si>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</si>
  <si>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</si>
  <si>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t>29</t>
  </si>
  <si>
    <r>
      <rPr>
        <sz val="8"/>
        <color indexed="8"/>
        <rFont val="SegoeUI"/>
      </rPr>
      <t>Aprangos valymas, taisymas ir nuoma (S)</t>
    </r>
  </si>
  <si>
    <r>
      <rPr>
        <sz val="8"/>
        <color indexed="8"/>
        <rFont val="SegoeUI"/>
      </rPr>
      <t>Cleaning, repair and hire of clothing (S)</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</si>
  <si>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</si>
  <si>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</si>
  <si>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t>30</t>
  </si>
  <si>
    <t>03.2</t>
  </si>
  <si>
    <r>
      <rPr>
        <sz val="8"/>
        <color indexed="8"/>
        <rFont val="SegoeUI"/>
      </rPr>
      <t>AVALYNĖ</t>
    </r>
  </si>
  <si>
    <r>
      <rPr>
        <sz val="8"/>
        <color indexed="8"/>
        <rFont val="SegoeUI"/>
      </rPr>
      <t>FOOTWEAR</t>
    </r>
  </si>
  <si>
    <t>31</t>
  </si>
  <si>
    <r>
      <rPr>
        <sz val="8"/>
        <color indexed="8"/>
        <rFont val="SegoeUI"/>
      </rPr>
      <t>Batai ir kita avalynė (SD)</t>
    </r>
  </si>
  <si>
    <r>
      <rPr>
        <sz val="8"/>
        <color indexed="8"/>
        <rFont val="SegoeUI"/>
      </rPr>
      <t>Shoes and other footwear (SD)</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</si>
  <si>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</si>
  <si>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</si>
  <si>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t>32</t>
  </si>
  <si>
    <r>
      <rPr>
        <sz val="8"/>
        <color indexed="8"/>
        <rFont val="SegoeUI"/>
      </rPr>
      <t>Avalynės taisymas ir nuoma (S)</t>
    </r>
  </si>
  <si>
    <r>
      <rPr>
        <sz val="8"/>
        <color indexed="8"/>
        <rFont val="SegoeUI"/>
      </rPr>
      <t>Repair and hire of footwear (S)</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</si>
  <si>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</si>
  <si>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</si>
  <si>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t>33</t>
  </si>
  <si>
    <t>04.</t>
  </si>
  <si>
    <r>
      <rPr>
        <sz val="8"/>
        <color indexed="8"/>
        <rFont val="SegoeUI"/>
      </rPr>
      <t>BŪSTAS, VANDUO, ELEKTRA, DUJOS IR KITAS KURAS</t>
    </r>
  </si>
  <si>
    <r>
      <rPr>
        <sz val="8"/>
        <color indexed="8"/>
        <rFont val="SegoeUI"/>
      </rPr>
      <t>HOUSING, WATER, ELECTRICITY, GAS AND OTHER FUELS</t>
    </r>
  </si>
  <si>
    <t>34</t>
  </si>
  <si>
    <t>04.1</t>
  </si>
  <si>
    <r>
      <rPr>
        <sz val="8"/>
        <color indexed="8"/>
        <rFont val="SegoeUI"/>
      </rPr>
      <t>BŪSTO NUOMOS MOKESČIAI</t>
    </r>
  </si>
  <si>
    <r>
      <rPr>
        <sz val="8"/>
        <color indexed="8"/>
        <rFont val="SegoeUI"/>
      </rPr>
      <t>ACTUAL RENTALS FOR HOUSING</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</si>
  <si>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</si>
  <si>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</si>
  <si>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t>35</t>
  </si>
  <si>
    <r>
      <rPr>
        <sz val="8"/>
        <color indexed="8"/>
        <rFont val="SegoeUI"/>
      </rPr>
      <t>Nuomininkų mokami nuomos mokesčiai (S)</t>
    </r>
  </si>
  <si>
    <r>
      <rPr>
        <sz val="8"/>
        <color indexed="8"/>
        <rFont val="SegoeUI"/>
      </rPr>
      <t>Actual rentals paid by tenants (S)</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</si>
  <si>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</si>
  <si>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</si>
  <si>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t>36</t>
  </si>
  <si>
    <r>
      <rPr>
        <sz val="8"/>
        <color indexed="8"/>
        <rFont val="SegoeUI"/>
      </rPr>
      <t>Kiti nuomos mokesčiai (S)</t>
    </r>
  </si>
  <si>
    <r>
      <rPr>
        <sz val="8"/>
        <color indexed="8"/>
        <rFont val="SegoeUI"/>
      </rPr>
      <t>Other actual rentals (S)</t>
    </r>
  </si>
  <si>
    <r>
      <rPr>
        <sz val="8"/>
        <color indexed="8"/>
        <rFont val="SegoeUI"/>
      </rPr>
      <t>- Nuomos mokesčiai, mokami už antrą gyvenamąją vietą. Neapima: apgyvendinimo paslaugos, teikiamos poilsio kaimelių ir centrų (11.2.0).</t>
    </r>
  </si>
  <si>
    <r>
      <rPr>
        <sz val="8"/>
        <color indexed="8"/>
        <rFont val="SegoeUI"/>
      </rPr>
      <t>- Rentals actually paid for secondary residences. Excludes: accommodation services of holiday villages and holiday centres (11.2.0).</t>
    </r>
  </si>
  <si>
    <t>37</t>
  </si>
  <si>
    <t>04.2</t>
  </si>
  <si>
    <r>
      <rPr>
        <sz val="8"/>
        <color indexed="8"/>
        <rFont val="SegoeUI"/>
      </rPr>
      <t>PRISKIRTIEJI BŪSTO NUOMOS MOKESČIAI</t>
    </r>
  </si>
  <si>
    <r>
      <rPr>
        <sz val="8"/>
        <color indexed="8"/>
        <rFont val="SegoeUI"/>
      </rPr>
      <t>IMPUTED RENTALS FOR HOUSING</t>
    </r>
  </si>
  <si>
    <r>
      <rPr>
        <sz val="8"/>
        <color indexed="8"/>
        <rFont val="SegoeUI"/>
      </rPr>
      <t>Smulkiau žr. (04.1).</t>
    </r>
  </si>
  <si>
    <r>
      <rPr>
        <sz val="8"/>
        <color indexed="8"/>
        <rFont val="SegoeUI"/>
      </rPr>
      <t>For coverage see note to (04.1) above.</t>
    </r>
  </si>
  <si>
    <t>38</t>
  </si>
  <si>
    <r>
      <rPr>
        <sz val="8"/>
        <color indexed="8"/>
        <rFont val="SegoeUI"/>
      </rPr>
      <t>Priskirtieji būsto savininkų nuomos mokesčiai (S)</t>
    </r>
  </si>
  <si>
    <r>
      <rPr>
        <sz val="8"/>
        <color indexed="8"/>
        <rFont val="SegoeUI"/>
      </rPr>
      <t>Imputed rentals of owner-occupiers (S)</t>
    </r>
  </si>
  <si>
    <r>
      <rPr>
        <sz val="8"/>
        <color indexed="8"/>
        <rFont val="SegoeUI"/>
      </rPr>
      <t>- Savininkų, užimančių savo pagrindinę gyvenamąją vietą, priskirtieji nuomos mokesčiai.</t>
    </r>
  </si>
  <si>
    <r>
      <rPr>
        <sz val="8"/>
        <color indexed="8"/>
        <rFont val="SegoeUI"/>
      </rPr>
      <t>- Imputed rentals of owners occupying their main residence.</t>
    </r>
  </si>
  <si>
    <t>39</t>
  </si>
  <si>
    <r>
      <rPr>
        <sz val="8"/>
        <color indexed="8"/>
        <rFont val="SegoeUI"/>
      </rPr>
      <t>Kiti priskirtieji nuomos mokesčiai (S)</t>
    </r>
  </si>
  <si>
    <r>
      <rPr>
        <sz val="8"/>
        <color indexed="8"/>
        <rFont val="SegoeUI"/>
      </rPr>
      <t>Other imputed rentals (S)</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</si>
  <si>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</si>
  <si>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 Imputed rentals for secondary residences; - imputed rentals of households paying a reduced rental or housed free.</t>
    </r>
  </si>
  <si>
    <t>40</t>
  </si>
  <si>
    <t>04.3</t>
  </si>
  <si>
    <r>
      <rPr>
        <sz val="8"/>
        <color indexed="8"/>
        <rFont val="SegoeUI"/>
      </rPr>
      <t>BŪSTO PRIEŽIŪRA IR REMONTAS</t>
    </r>
  </si>
  <si>
    <r>
      <rPr>
        <sz val="8"/>
        <color indexed="8"/>
        <rFont val="SegoeUI"/>
      </rPr>
      <t>MAINTENANCE AND REPAIR OF THE DWELLING</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</si>
  <si>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</si>
  <si>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</si>
  <si>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t>41</t>
  </si>
  <si>
    <r>
      <rPr>
        <sz val="8"/>
        <color indexed="8"/>
        <rFont val="SegoeUI"/>
      </rPr>
      <t>Gaminiai ir medžiagos būsto priežiūrai ir remontui (ND)</t>
    </r>
  </si>
  <si>
    <r>
      <rPr>
        <sz val="8"/>
        <color indexed="8"/>
        <rFont val="SegoeUI"/>
      </rPr>
      <t>Materials for the maintenance and repair of the dwelling (ND)</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</si>
  <si>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</si>
  <si>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</si>
  <si>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t>42</t>
  </si>
  <si>
    <r>
      <rPr>
        <sz val="8"/>
        <color indexed="8"/>
        <rFont val="SegoeUI"/>
      </rPr>
      <t>Būsto priežiūros ir remonto paslaugos (S)</t>
    </r>
  </si>
  <si>
    <r>
      <rPr>
        <sz val="8"/>
        <color indexed="8"/>
        <rFont val="SegoeUI"/>
      </rPr>
      <t>Services for the maintenance and repair of the dwelling (S)</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</si>
  <si>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</si>
  <si>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</si>
  <si>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t>43</t>
  </si>
  <si>
    <t>04.4</t>
  </si>
  <si>
    <r>
      <rPr>
        <sz val="8"/>
        <color indexed="8"/>
        <rFont val="SegoeUI"/>
      </rPr>
      <t>VANDENTIEKA IR KITOS ĮVAIRIOS SU BŪSTU SUSIJUSIOS PASLAUGOS</t>
    </r>
  </si>
  <si>
    <r>
      <rPr>
        <sz val="8"/>
        <color indexed="8"/>
        <rFont val="SegoeUI"/>
      </rPr>
      <t>WATER SUPPLY AND MISCELLANEOUS SERVICES RELATING TO THE DWELLING</t>
    </r>
  </si>
  <si>
    <t>44</t>
  </si>
  <si>
    <r>
      <rPr>
        <sz val="8"/>
        <color indexed="8"/>
        <rFont val="SegoeUI"/>
      </rPr>
      <t>Vandentieka (ND)</t>
    </r>
  </si>
  <si>
    <r>
      <rPr>
        <sz val="8"/>
        <color indexed="8"/>
        <rFont val="SegoeUI"/>
      </rPr>
      <t>Water supply (ND)</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</si>
  <si>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</si>
  <si>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</si>
  <si>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t>45</t>
  </si>
  <si>
    <r>
      <rPr>
        <sz val="8"/>
        <color indexed="8"/>
        <rFont val="SegoeUI"/>
      </rPr>
      <t>Atliekų rinkimas (S)</t>
    </r>
  </si>
  <si>
    <r>
      <rPr>
        <sz val="8"/>
        <color indexed="8"/>
        <rFont val="SegoeUI"/>
      </rPr>
      <t>Refuse collection (S)</t>
    </r>
  </si>
  <si>
    <r>
      <rPr>
        <sz val="8"/>
        <color indexed="8"/>
        <rFont val="SegoeUI"/>
      </rPr>
      <t>- Atliekų rinkimas ir šalinimas.</t>
    </r>
  </si>
  <si>
    <r>
      <rPr>
        <sz val="8"/>
        <color indexed="8"/>
        <rFont val="SegoeUI"/>
      </rPr>
      <t>- Refuse collection and disposal.</t>
    </r>
  </si>
  <si>
    <t>46</t>
  </si>
  <si>
    <r>
      <rPr>
        <sz val="8"/>
        <color indexed="8"/>
        <rFont val="SegoeUI"/>
      </rPr>
      <t>Nuotėkų rinkimo paslaugos (S)</t>
    </r>
  </si>
  <si>
    <r>
      <rPr>
        <sz val="8"/>
        <color indexed="8"/>
        <rFont val="SegoeUI"/>
      </rPr>
      <t>Sewerage collection (S)</t>
    </r>
  </si>
  <si>
    <r>
      <rPr>
        <sz val="8"/>
        <color indexed="8"/>
        <rFont val="SegoeUI"/>
      </rPr>
      <t>- Nuotėkų rinkimas ir šalinimas.</t>
    </r>
  </si>
  <si>
    <r>
      <rPr>
        <sz val="8"/>
        <color indexed="8"/>
        <rFont val="SegoeUI"/>
      </rPr>
      <t>- Sewerage collection and disposal.</t>
    </r>
  </si>
  <si>
    <t>47</t>
  </si>
  <si>
    <r>
      <rPr>
        <sz val="8"/>
        <color indexed="8"/>
        <rFont val="SegoeUI"/>
      </rPr>
      <t>Kitos, niekur kitur nepriskirtos, su būstu susijusios paslaugos (S)</t>
    </r>
  </si>
  <si>
    <r>
      <rPr>
        <sz val="8"/>
        <color indexed="8"/>
        <rFont val="SegoeUI"/>
      </rPr>
      <t>Other services relating to the dwelling n.e.c. (S)</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</si>
  <si>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</si>
  <si>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</si>
  <si>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t>48</t>
  </si>
  <si>
    <t>04.5</t>
  </si>
  <si>
    <r>
      <rPr>
        <sz val="8"/>
        <color indexed="8"/>
        <rFont val="SegoeUI"/>
      </rPr>
      <t>ELEKTRA, DUJOS IR KITAS KURAS</t>
    </r>
  </si>
  <si>
    <r>
      <rPr>
        <sz val="8"/>
        <color indexed="8"/>
        <rFont val="SegoeUI"/>
      </rPr>
      <t>ELECTRICITY, GAS AND OTHER FUELS</t>
    </r>
  </si>
  <si>
    <t>49</t>
  </si>
  <si>
    <r>
      <rPr>
        <sz val="8"/>
        <color indexed="8"/>
        <rFont val="SegoeUI"/>
      </rPr>
      <t>Elektra (ND)</t>
    </r>
  </si>
  <si>
    <r>
      <rPr>
        <sz val="8"/>
        <color indexed="8"/>
        <rFont val="SegoeUI"/>
      </rPr>
      <t>Electricity (ND)</t>
    </r>
  </si>
  <si>
    <r>
      <rPr>
        <sz val="8"/>
        <color indexed="8"/>
        <rFont val="SegoeUI"/>
      </rPr>
      <t>- Elektra. Apima: susijusios išlaidos - skaitiklių nuoma, skaitiklių rodmenų registravimas, nuolatinės išlaidos ir kt.</t>
    </r>
  </si>
  <si>
    <r>
      <rPr>
        <sz val="8"/>
        <color indexed="8"/>
        <rFont val="SegoeUI"/>
      </rPr>
      <t>- Electricity. Includes: associated expenditure such as hire of meters, reading of meters, standing charges, etc.</t>
    </r>
  </si>
  <si>
    <t>50</t>
  </si>
  <si>
    <r>
      <rPr>
        <sz val="8"/>
        <color indexed="8"/>
        <rFont val="SegoeUI"/>
      </rPr>
      <t>Dujos (ND)</t>
    </r>
  </si>
  <si>
    <r>
      <rPr>
        <sz val="8"/>
        <color indexed="8"/>
        <rFont val="SegoeUI"/>
      </rPr>
      <t>Gas (ND)</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</si>
  <si>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</si>
  <si>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 Town gas and natural gas; - liquefied hydrocarbons (butane, propane, etc.). Includes: associated expenditure such as hire of meters, reading of meters, storage containers, standing charges, etc.</t>
    </r>
  </si>
  <si>
    <t>51</t>
  </si>
  <si>
    <r>
      <rPr>
        <sz val="8"/>
        <color indexed="8"/>
        <rFont val="SegoeUI"/>
      </rPr>
      <t>Skystasis kuras (ND)</t>
    </r>
  </si>
  <si>
    <r>
      <rPr>
        <sz val="8"/>
        <color indexed="8"/>
        <rFont val="SegoeUI"/>
      </rPr>
      <t>Liquid fuels (ND)</t>
    </r>
  </si>
  <si>
    <r>
      <rPr>
        <sz val="8"/>
        <color indexed="8"/>
        <rFont val="SegoeUI"/>
      </rPr>
      <t>- Buitinių krosnių kuras ir (apšvietimo) žibalas.</t>
    </r>
  </si>
  <si>
    <r>
      <rPr>
        <sz val="8"/>
        <color indexed="8"/>
        <rFont val="SegoeUI"/>
      </rPr>
      <t>- Domestic heating and lighting oils.</t>
    </r>
  </si>
  <si>
    <t>52</t>
  </si>
  <si>
    <r>
      <rPr>
        <sz val="8"/>
        <color indexed="8"/>
        <rFont val="SegoeUI"/>
      </rPr>
      <t>Kietasis kuras (ND)</t>
    </r>
  </si>
  <si>
    <r>
      <rPr>
        <sz val="8"/>
        <color indexed="8"/>
        <rFont val="SegoeUI"/>
      </rPr>
      <t>Solid fuels (ND)</t>
    </r>
  </si>
  <si>
    <r>
      <rPr>
        <sz val="8"/>
        <color indexed="8"/>
        <rFont val="SegoeUI"/>
      </rPr>
      <t>- Anglys, koksas, briketai, malkos, medžio anglys, durpės ir panašios medžiagos.</t>
    </r>
  </si>
  <si>
    <r>
      <rPr>
        <sz val="8"/>
        <color indexed="8"/>
        <rFont val="SegoeUI"/>
      </rPr>
      <t>- Coal, coke, briquettes, firewood, charcoal, peat and the like.</t>
    </r>
  </si>
  <si>
    <t>53</t>
  </si>
  <si>
    <r>
      <rPr>
        <sz val="8"/>
        <color indexed="8"/>
        <rFont val="SegoeUI"/>
      </rPr>
      <t>Šiluminė energija (ND)</t>
    </r>
  </si>
  <si>
    <r>
      <rPr>
        <sz val="8"/>
        <color indexed="8"/>
        <rFont val="SegoeUI"/>
      </rPr>
      <t>Heat energy (ND)</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</si>
  <si>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</si>
  <si>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 Hot water and steam purchased from district heating plants. Includes: associated expenditure such as hire of meters, reading of meters, standing charges, etc.; ice used for cooling and refrigeration purposes.</t>
    </r>
  </si>
  <si>
    <t>54</t>
  </si>
  <si>
    <t>05.</t>
  </si>
  <si>
    <r>
      <rPr>
        <sz val="8"/>
        <color indexed="8"/>
        <rFont val="SegoeUI"/>
      </rPr>
      <t>BŪSTO APSTATYMO, NAMŲ ŪKIO ĮRANGA IR KASDIENINĖ NAMŲ PRIEŽIŪRA</t>
    </r>
  </si>
  <si>
    <r>
      <rPr>
        <sz val="8"/>
        <color indexed="8"/>
        <rFont val="SegoeUI"/>
      </rPr>
      <t>FURNISHINGS, HOUSEHOLD EQUIPMENT AND ROUTINE MAINTENANCE OF THE HOUSE</t>
    </r>
  </si>
  <si>
    <t>55</t>
  </si>
  <si>
    <t>05.1</t>
  </si>
  <si>
    <r>
      <rPr>
        <sz val="8"/>
        <color indexed="8"/>
        <rFont val="SegoeUI"/>
      </rPr>
      <t>Baldai, būsto apstatymo reikmenys, kilimai ir kitos grindų dangos</t>
    </r>
  </si>
  <si>
    <r>
      <rPr>
        <sz val="8"/>
        <color indexed="8"/>
        <rFont val="SegoeUI"/>
      </rPr>
      <t>FURNITURE AND FURNISHINGS, CARPETS AND OTHER FLOOR COVERINGS</t>
    </r>
  </si>
  <si>
    <t>56</t>
  </si>
  <si>
    <r>
      <rPr>
        <sz val="8"/>
        <color indexed="8"/>
        <rFont val="SegoeUI"/>
      </rPr>
      <t>Baldai ir būsto apstatymo reikmenys (D)</t>
    </r>
  </si>
  <si>
    <r>
      <rPr>
        <sz val="8"/>
        <color indexed="8"/>
        <rFont val="SegoeUI"/>
      </rPr>
      <t>Furniture and furnishings (D)</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</si>
  <si>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</si>
  <si>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</si>
  <si>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t>57</t>
  </si>
  <si>
    <r>
      <rPr>
        <sz val="8"/>
        <color indexed="8"/>
        <rFont val="SegoeUI"/>
      </rPr>
      <t>Kilimai ir kitos grindų dangos (D)</t>
    </r>
  </si>
  <si>
    <r>
      <rPr>
        <sz val="8"/>
        <color indexed="8"/>
        <rFont val="SegoeUI"/>
      </rPr>
      <t>Carpets and other floor coverings (D)</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</si>
  <si>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</si>
  <si>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</si>
  <si>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t>58</t>
  </si>
  <si>
    <r>
      <rPr>
        <sz val="8"/>
        <color indexed="8"/>
        <rFont val="SegoeUI"/>
      </rPr>
      <t>Baldų, būsto apstatymo reikmenų ir grindų dangų remontas (S)</t>
    </r>
  </si>
  <si>
    <r>
      <rPr>
        <sz val="8"/>
        <color indexed="8"/>
        <rFont val="SegoeUI"/>
      </rPr>
      <t>Repair of furniture, furnishings and floor coverings (S)</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</si>
  <si>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</si>
  <si>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</si>
  <si>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t>59</t>
  </si>
  <si>
    <t>05.2</t>
  </si>
  <si>
    <r>
      <rPr>
        <sz val="8"/>
        <color indexed="8"/>
        <rFont val="SegoeUI"/>
      </rPr>
      <t>NAMŲ ŪKIO TEKSTILĖ</t>
    </r>
  </si>
  <si>
    <r>
      <rPr>
        <sz val="8"/>
        <color indexed="8"/>
        <rFont val="SegoeUI"/>
      </rPr>
      <t>HOUSEHOLD TEXTILES</t>
    </r>
  </si>
  <si>
    <t>EUR_HE0520</t>
  </si>
  <si>
    <t>60</t>
  </si>
  <si>
    <t>05.2.0</t>
  </si>
  <si>
    <r>
      <rPr>
        <sz val="8"/>
        <color indexed="8"/>
        <rFont val="SegoeUI"/>
      </rPr>
      <t>Namų ūkio tekstilė (SD)</t>
    </r>
  </si>
  <si>
    <r>
      <rPr>
        <sz val="8"/>
        <color indexed="8"/>
        <rFont val="SegoeUI"/>
      </rPr>
      <t>Household textiles (SD)</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</si>
  <si>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</si>
  <si>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</si>
  <si>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t>61</t>
  </si>
  <si>
    <t>05.3</t>
  </si>
  <si>
    <r>
      <rPr>
        <sz val="8"/>
        <color indexed="8"/>
        <rFont val="SegoeUI"/>
      </rPr>
      <t>NAMŲ ŪKIO PRIETAISAI</t>
    </r>
  </si>
  <si>
    <r>
      <rPr>
        <sz val="8"/>
        <color indexed="8"/>
        <rFont val="SegoeUI"/>
      </rPr>
      <t>HOUSEHOLD APPLIANCES</t>
    </r>
  </si>
  <si>
    <t>62</t>
  </si>
  <si>
    <r>
      <rPr>
        <sz val="8"/>
        <color indexed="8"/>
        <rFont val="SegoeUI"/>
      </rPr>
      <t>Elektriniai arba neelektriniai pagrindiniai namų ūkio prietaisai (D)</t>
    </r>
  </si>
  <si>
    <r>
      <rPr>
        <sz val="8"/>
        <color indexed="8"/>
        <rFont val="SegoeUI"/>
      </rPr>
      <t>Major household appliances whether electric or not (D)</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</si>
  <si>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</si>
  <si>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</si>
  <si>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t>63</t>
  </si>
  <si>
    <r>
      <rPr>
        <sz val="8"/>
        <color indexed="8"/>
        <rFont val="SegoeUI"/>
      </rPr>
      <t>Smulkūs elektriniai namų ūkio prietaisai (SD)</t>
    </r>
  </si>
  <si>
    <r>
      <rPr>
        <sz val="8"/>
        <color indexed="8"/>
        <rFont val="SegoeUI"/>
      </rPr>
      <t>Small electric household appliances (SD)</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</si>
  <si>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</si>
  <si>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</si>
  <si>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t>64</t>
  </si>
  <si>
    <r>
      <rPr>
        <sz val="8"/>
        <color indexed="8"/>
        <rFont val="SegoeUI"/>
      </rPr>
      <t>Namų ūkio prietaisų taisymas (S)</t>
    </r>
  </si>
  <si>
    <r>
      <rPr>
        <sz val="8"/>
        <color indexed="8"/>
        <rFont val="SegoeUI"/>
      </rPr>
      <t>Repair of household appliances (S)</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</si>
  <si>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</si>
  <si>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</si>
  <si>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t>65</t>
  </si>
  <si>
    <t>05.4</t>
  </si>
  <si>
    <r>
      <rPr>
        <sz val="8"/>
        <color indexed="8"/>
        <rFont val="SegoeUI"/>
      </rPr>
      <t>STIKLO DIRBINIAI, STALO REIKMENYS IR NAMŲ ŪKIO RYKAI</t>
    </r>
  </si>
  <si>
    <r>
      <rPr>
        <sz val="8"/>
        <color indexed="8"/>
        <rFont val="SegoeUI"/>
      </rPr>
      <t>GLASSWARE, TABLEWARE AND HOUSEHOLD UTENSILS</t>
    </r>
  </si>
  <si>
    <t>EUR_HE0540</t>
  </si>
  <si>
    <t>66</t>
  </si>
  <si>
    <t>05.4.0</t>
  </si>
  <si>
    <r>
      <rPr>
        <sz val="8"/>
        <color indexed="8"/>
        <rFont val="SegoeUI"/>
      </rPr>
      <t>Stiklo dirbiniai, stalo reikmenys ir namų ūkio rykai (SD)</t>
    </r>
  </si>
  <si>
    <r>
      <rPr>
        <sz val="8"/>
        <color indexed="8"/>
        <rFont val="SegoeUI"/>
      </rPr>
      <t>Glassware, tableware and household utensils (SD)</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</si>
  <si>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</si>
  <si>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</si>
  <si>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t>67</t>
  </si>
  <si>
    <t>05.5</t>
  </si>
  <si>
    <r>
      <rPr>
        <sz val="8"/>
        <color indexed="8"/>
        <rFont val="SegoeUI"/>
      </rPr>
      <t>Namų ir sodo įrankiai bei įrenginiai</t>
    </r>
  </si>
  <si>
    <r>
      <rPr>
        <sz val="8"/>
        <color indexed="8"/>
        <rFont val="SegoeUI"/>
      </rPr>
      <t>TOOLS AND EQUIPMENT FOR HOUSE AND GARDEN</t>
    </r>
  </si>
  <si>
    <t>68</t>
  </si>
  <si>
    <r>
      <rPr>
        <sz val="8"/>
        <color indexed="8"/>
        <rFont val="SegoeUI"/>
      </rPr>
      <t>Pagrindiniai įrankiai ir įrenginiai (D)</t>
    </r>
  </si>
  <si>
    <r>
      <rPr>
        <sz val="8"/>
        <color indexed="8"/>
        <rFont val="SegoeUI"/>
      </rPr>
      <t>Major tools and equipment (D)</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</si>
  <si>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</si>
  <si>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</si>
  <si>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t>69</t>
  </si>
  <si>
    <r>
      <rPr>
        <sz val="8"/>
        <color indexed="8"/>
        <rFont val="SegoeUI"/>
      </rPr>
      <t>Smulkūs įrankiai ir įvairūs pagalbiniai reikmenys (SD)</t>
    </r>
  </si>
  <si>
    <r>
      <rPr>
        <sz val="8"/>
        <color indexed="8"/>
        <rFont val="SegoeUI"/>
      </rPr>
      <t>Small tools and miscellaneous accessories (SD)</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</si>
  <si>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</si>
  <si>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</si>
  <si>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t>70</t>
  </si>
  <si>
    <t>05.6</t>
  </si>
  <si>
    <r>
      <rPr>
        <sz val="8"/>
        <color indexed="8"/>
        <rFont val="SegoeUI"/>
      </rPr>
      <t>PREKĖS IR PASLAUGOS ĮPRASTINEI NAMŲ ŪKIO PRIEŽIŪRAI</t>
    </r>
  </si>
  <si>
    <r>
      <rPr>
        <sz val="8"/>
        <color indexed="8"/>
        <rFont val="SegoeUI"/>
      </rPr>
      <t>GOODS AND SERVICES FOR ROUTINE HOUSEHOLD MAINTENANCE</t>
    </r>
  </si>
  <si>
    <t>71</t>
  </si>
  <si>
    <r>
      <rPr>
        <sz val="8"/>
        <color indexed="8"/>
        <rFont val="SegoeUI"/>
      </rPr>
      <t>Trumpalaikio naudojimo namų ūkio prekės (ND)</t>
    </r>
  </si>
  <si>
    <r>
      <rPr>
        <sz val="8"/>
        <color indexed="8"/>
        <rFont val="SegoeUI"/>
      </rPr>
      <t>Non-durable household goods (ND)</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</si>
  <si>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</si>
  <si>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</si>
  <si>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t>72</t>
  </si>
  <si>
    <r>
      <rPr>
        <sz val="8"/>
        <color indexed="8"/>
        <rFont val="SegoeUI"/>
      </rPr>
      <t>Tarnų ir namų priežiūros paslaugos (S)</t>
    </r>
  </si>
  <si>
    <r>
      <rPr>
        <sz val="8"/>
        <color indexed="8"/>
        <rFont val="SegoeUI"/>
      </rPr>
      <t>Domestic services and household services (S)</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</si>
  <si>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</si>
  <si>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</si>
  <si>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t>73</t>
  </si>
  <si>
    <t>06.</t>
  </si>
  <si>
    <r>
      <rPr>
        <sz val="8"/>
        <color indexed="8"/>
        <rFont val="SegoeUI"/>
      </rPr>
      <t>SVEIKATA</t>
    </r>
  </si>
  <si>
    <r>
      <rPr>
        <sz val="8"/>
        <color indexed="8"/>
        <rFont val="SegoeUI"/>
      </rPr>
      <t>HEALTH</t>
    </r>
  </si>
  <si>
    <r>
      <rPr>
        <sz val="8"/>
        <color indexed="8"/>
        <rFont val="SegoeUI"/>
      </rPr>
      <t>Į šią grupę įeina sveikatinimo paslaugos, kurias už užmokestį teikia mokyklų ir universitetiniai sveikatos centrai.</t>
    </r>
  </si>
  <si>
    <r>
      <rPr>
        <sz val="8"/>
        <color indexed="8"/>
        <rFont val="SegoeUI"/>
      </rPr>
      <t>This division also includes health services purchased from school and university health centres.</t>
    </r>
  </si>
  <si>
    <t>74</t>
  </si>
  <si>
    <t>06.1</t>
  </si>
  <si>
    <r>
      <rPr>
        <sz val="8"/>
        <color indexed="8"/>
        <rFont val="SegoeUI"/>
      </rPr>
      <t>MEDICINOS GAMINIAI, APARATAI IR ĮRANGA</t>
    </r>
  </si>
  <si>
    <r>
      <rPr>
        <sz val="8"/>
        <color indexed="8"/>
        <rFont val="SegoeUI"/>
      </rPr>
      <t>MEDICAL PRODUCTS, APPLIANCES AND EQUIPMENT</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</si>
  <si>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</si>
  <si>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</si>
  <si>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t>75</t>
  </si>
  <si>
    <r>
      <rPr>
        <sz val="8"/>
        <color indexed="8"/>
        <rFont val="SegoeUI"/>
      </rPr>
      <t>Farmacijos gaminiai (ND)</t>
    </r>
  </si>
  <si>
    <r>
      <rPr>
        <sz val="8"/>
        <color indexed="8"/>
        <rFont val="SegoeUI"/>
      </rPr>
      <t>Pharmaceutical products (ND)</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</si>
  <si>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</si>
  <si>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</si>
  <si>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t>76</t>
  </si>
  <si>
    <r>
      <rPr>
        <sz val="8"/>
        <color indexed="8"/>
        <rFont val="SegoeUI"/>
      </rPr>
      <t>Kiti medicinos gaminiai (ND)</t>
    </r>
  </si>
  <si>
    <r>
      <rPr>
        <sz val="8"/>
        <color indexed="8"/>
        <rFont val="SegoeUI"/>
      </rPr>
      <t>Other medical products (ND)</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</si>
  <si>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</si>
  <si>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</si>
  <si>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t>77</t>
  </si>
  <si>
    <r>
      <rPr>
        <sz val="8"/>
        <color indexed="8"/>
        <rFont val="SegoeUI"/>
      </rPr>
      <t>Terapiniai aparatai ir įranga (D)</t>
    </r>
  </si>
  <si>
    <r>
      <rPr>
        <sz val="8"/>
        <color indexed="8"/>
        <rFont val="SegoeUI"/>
      </rPr>
      <t>Therapeutic appliances and equipment (D)</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</si>
  <si>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</si>
  <si>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</si>
  <si>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t>78</t>
  </si>
  <si>
    <t>06.2</t>
  </si>
  <si>
    <r>
      <rPr>
        <sz val="8"/>
        <color indexed="8"/>
        <rFont val="SegoeUI"/>
      </rPr>
      <t>PASLAUGOS AMBULATORINIAMS PACIENTAMS</t>
    </r>
  </si>
  <si>
    <r>
      <rPr>
        <sz val="8"/>
        <color indexed="8"/>
        <rFont val="SegoeUI"/>
      </rPr>
      <t>OUT-PATIENT SERVICES</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</si>
  <si>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</si>
  <si>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</si>
  <si>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t>79</t>
  </si>
  <si>
    <r>
      <rPr>
        <sz val="8"/>
        <color indexed="8"/>
        <rFont val="SegoeUI"/>
      </rPr>
      <t>Medicinos paslaugos (S)</t>
    </r>
  </si>
  <si>
    <r>
      <rPr>
        <sz val="8"/>
        <color indexed="8"/>
        <rFont val="SegoeUI"/>
      </rPr>
      <t>Medical services (S)</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</si>
  <si>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</si>
  <si>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</si>
  <si>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t>80</t>
  </si>
  <si>
    <r>
      <rPr>
        <sz val="8"/>
        <color indexed="8"/>
        <rFont val="SegoeUI"/>
      </rPr>
      <t>Odontologijos paslaugos (S)</t>
    </r>
  </si>
  <si>
    <r>
      <rPr>
        <sz val="8"/>
        <color indexed="8"/>
        <rFont val="SegoeUI"/>
      </rPr>
      <t>Dental services (S)</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</si>
  <si>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</si>
  <si>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</si>
  <si>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t>81</t>
  </si>
  <si>
    <r>
      <rPr>
        <sz val="8"/>
        <color indexed="8"/>
        <rFont val="SegoeUI"/>
      </rPr>
      <t>Paramedicinos paslaugos (S)</t>
    </r>
  </si>
  <si>
    <r>
      <rPr>
        <sz val="8"/>
        <color indexed="8"/>
        <rFont val="SegoeUI"/>
      </rPr>
      <t>Paramedical services (S)</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</si>
  <si>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</si>
  <si>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</si>
  <si>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t>82</t>
  </si>
  <si>
    <t>06.3</t>
  </si>
  <si>
    <r>
      <rPr>
        <sz val="8"/>
        <color indexed="8"/>
        <rFont val="SegoeUI"/>
      </rPr>
      <t>LIGONINIŲ PASLAUGOS</t>
    </r>
  </si>
  <si>
    <r>
      <rPr>
        <sz val="8"/>
        <color indexed="8"/>
        <rFont val="SegoeUI"/>
      </rPr>
      <t>HOSPITAL SERVICES</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</si>
  <si>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</si>
  <si>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</si>
  <si>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t>EUR_HE0630</t>
  </si>
  <si>
    <t>83</t>
  </si>
  <si>
    <t>06.3.0</t>
  </si>
  <si>
    <r>
      <rPr>
        <sz val="8"/>
        <color indexed="8"/>
        <rFont val="SegoeUI"/>
      </rPr>
      <t>Ligoninių paslaugos (S)</t>
    </r>
  </si>
  <si>
    <r>
      <rPr>
        <sz val="8"/>
        <color indexed="8"/>
        <rFont val="SegoeUI"/>
      </rPr>
      <t>Hospital services (S)</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</si>
  <si>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</si>
  <si>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</si>
  <si>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t>84</t>
  </si>
  <si>
    <t>07.</t>
  </si>
  <si>
    <r>
      <rPr>
        <sz val="8"/>
        <color indexed="8"/>
        <rFont val="SegoeUI"/>
      </rPr>
      <t>TRANSPORTAS</t>
    </r>
  </si>
  <si>
    <r>
      <rPr>
        <sz val="8"/>
        <color indexed="8"/>
        <rFont val="SegoeUI"/>
      </rPr>
      <t>TRANSPORT</t>
    </r>
  </si>
  <si>
    <t>85</t>
  </si>
  <si>
    <t>07.1</t>
  </si>
  <si>
    <r>
      <rPr>
        <sz val="8"/>
        <color indexed="8"/>
        <rFont val="SegoeUI"/>
      </rPr>
      <t>TRANSPORTO PRIEMONIŲ ĮSIGIJIMAS</t>
    </r>
  </si>
  <si>
    <r>
      <rPr>
        <sz val="8"/>
        <color indexed="8"/>
        <rFont val="SegoeUI"/>
      </rPr>
      <t>PURCHASE OF VEHICLES</t>
    </r>
  </si>
  <si>
    <r>
      <rPr>
        <sz val="8"/>
        <color indexed="8"/>
        <rFont val="SegoeUI"/>
      </rPr>
      <t>Pramoginių transporto priemonių - turistinių furgonų, automobilinių namelių, priekabų, lėktuvų ir laivų įsigijimas, priskirtas (09.2.1).</t>
    </r>
  </si>
  <si>
    <r>
      <rPr>
        <sz val="8"/>
        <color indexed="8"/>
        <rFont val="SegoeUI"/>
      </rPr>
      <t>Purchases of recreational vehicles such as camper vans, caravans, trailers, aeroplanes and boats are covered by (09.2.1).</t>
    </r>
  </si>
  <si>
    <t>86</t>
  </si>
  <si>
    <r>
      <rPr>
        <sz val="8"/>
        <color indexed="8"/>
        <rFont val="SegoeUI"/>
      </rPr>
      <t>Automobiliai (D)</t>
    </r>
  </si>
  <si>
    <r>
      <rPr>
        <sz val="8"/>
        <color indexed="8"/>
        <rFont val="SegoeUI"/>
      </rPr>
      <t>Motor cars (D)</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</si>
  <si>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</si>
  <si>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 Motor cars, passenger vans, station wagons, estate cars and the like with either two-wheel drive or four-wheel drive. Excludes: invalid carriages (06.1.3); camper vans (09.2.1); golf carts (09.2.1).</t>
    </r>
  </si>
  <si>
    <t>87</t>
  </si>
  <si>
    <r>
      <rPr>
        <sz val="8"/>
        <color indexed="8"/>
        <rFont val="SegoeUI"/>
      </rPr>
      <t>Motociklai (D)</t>
    </r>
  </si>
  <si>
    <r>
      <rPr>
        <sz val="8"/>
        <color indexed="8"/>
        <rFont val="SegoeUI"/>
      </rPr>
      <t>Motor cycles (D)</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</si>
  <si>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</si>
  <si>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 Motor cycles of all types, scooters and powered bicycles. Includes: side cars; snowmobiles. Excludes: invalid carriages (06.1.3); golf carts (09.2.1).</t>
    </r>
  </si>
  <si>
    <t>88</t>
  </si>
  <si>
    <r>
      <rPr>
        <sz val="8"/>
        <color indexed="8"/>
        <rFont val="SegoeUI"/>
      </rPr>
      <t>Dviračiai (D)</t>
    </r>
  </si>
  <si>
    <r>
      <rPr>
        <sz val="8"/>
        <color indexed="8"/>
        <rFont val="SegoeUI"/>
      </rPr>
      <t>Bicycles (D)</t>
    </r>
  </si>
  <si>
    <r>
      <rPr>
        <sz val="8"/>
        <color indexed="8"/>
        <rFont val="SegoeUI"/>
      </rPr>
      <t>- Visų rūšių dviračiai ir triračiai. Apima: rikšos vežimėliai. Neapima: žaisliniai dviračiai ir triračiai (09.3.1).</t>
    </r>
  </si>
  <si>
    <r>
      <rPr>
        <sz val="8"/>
        <color indexed="8"/>
        <rFont val="SegoeUI"/>
      </rPr>
      <t>- Bicycles and tricycles of all types. Includes: rickshaws. Excludes: toy bicycles and tricycles (09.3.1).</t>
    </r>
  </si>
  <si>
    <t>89</t>
  </si>
  <si>
    <t>07.1.4</t>
  </si>
  <si>
    <r>
      <rPr>
        <sz val="8"/>
        <color indexed="8"/>
        <rFont val="SegoeUI"/>
      </rPr>
      <t>Gyvulių traukiami vežimai (D)</t>
    </r>
  </si>
  <si>
    <r>
      <rPr>
        <sz val="8"/>
        <color indexed="8"/>
        <rFont val="SegoeUI"/>
      </rPr>
      <t>Animal drawn vehicles (D)</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</si>
  <si>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</si>
  <si>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</si>
  <si>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t>90</t>
  </si>
  <si>
    <t>07.2</t>
  </si>
  <si>
    <r>
      <rPr>
        <sz val="8"/>
        <color indexed="8"/>
        <rFont val="SegoeUI"/>
      </rPr>
      <t>ASMENINIŲ TRANSPORTO PRIEMONIŲ EKSPLOATACIJA</t>
    </r>
  </si>
  <si>
    <r>
      <rPr>
        <sz val="8"/>
        <color indexed="8"/>
        <rFont val="SegoeUI"/>
      </rPr>
      <t>OPERATION OF PERSONAL TRANSPORT EQUIPMENT</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</si>
  <si>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</si>
  <si>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</si>
  <si>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t>91</t>
  </si>
  <si>
    <r>
      <rPr>
        <sz val="8"/>
        <color indexed="8"/>
        <rFont val="SegoeUI"/>
      </rPr>
      <t>Asmeninių transporto priemonių atsarginės dalys ir pagalbiniai reikmenys (SD)</t>
    </r>
  </si>
  <si>
    <r>
      <rPr>
        <sz val="8"/>
        <color indexed="8"/>
        <rFont val="SegoeUI"/>
      </rPr>
      <t>Spare parts and accessories for personal transport equipment (SD)</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</si>
  <si>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</si>
  <si>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</si>
  <si>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t>92</t>
  </si>
  <si>
    <r>
      <rPr>
        <sz val="8"/>
        <color indexed="8"/>
        <rFont val="SegoeUI"/>
      </rPr>
      <t>Asmeninių transporto priemonių degalai ir tepalai (ND)</t>
    </r>
  </si>
  <si>
    <r>
      <rPr>
        <sz val="8"/>
        <color indexed="8"/>
        <rFont val="SegoeUI"/>
      </rPr>
      <t>Fuels and lubricants for personal transport equipment (ND)</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</si>
  <si>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</si>
  <si>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</si>
  <si>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t>93</t>
  </si>
  <si>
    <r>
      <rPr>
        <sz val="8"/>
        <color indexed="8"/>
        <rFont val="SegoeUI"/>
      </rPr>
      <t>Asmeninių transporto priemonių techninė priežiūra ir remontas (S)</t>
    </r>
  </si>
  <si>
    <r>
      <rPr>
        <sz val="8"/>
        <color indexed="8"/>
        <rFont val="SegoeUI"/>
      </rPr>
      <t>Maintenance and repair of personal transport equipment (S)</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</si>
  <si>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</si>
  <si>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</si>
  <si>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t>94</t>
  </si>
  <si>
    <r>
      <rPr>
        <sz val="8"/>
        <color indexed="8"/>
        <rFont val="SegoeUI"/>
      </rPr>
      <t>Kitos paslaugos, skirtos asmeninėms transporto priemonėms (S)</t>
    </r>
  </si>
  <si>
    <r>
      <rPr>
        <sz val="8"/>
        <color indexed="8"/>
        <rFont val="SegoeUI"/>
      </rPr>
      <t>Other services in respect of personal transport equipment (S)</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</si>
  <si>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</si>
  <si>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</si>
  <si>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t>95</t>
  </si>
  <si>
    <t>07.3</t>
  </si>
  <si>
    <r>
      <rPr>
        <sz val="8"/>
        <color indexed="8"/>
        <rFont val="SegoeUI"/>
      </rPr>
      <t>TRANSPORTO PASLAUGOS</t>
    </r>
  </si>
  <si>
    <r>
      <rPr>
        <sz val="8"/>
        <color indexed="8"/>
        <rFont val="SegoeUI"/>
      </rPr>
      <t>TRANSPORT SERVICES</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</si>
  <si>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</si>
  <si>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</si>
  <si>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t>96</t>
  </si>
  <si>
    <r>
      <rPr>
        <sz val="8"/>
        <color indexed="8"/>
        <rFont val="SegoeUI"/>
      </rPr>
      <t>Keleivių vežimas geležinkeliu (S)</t>
    </r>
  </si>
  <si>
    <r>
      <rPr>
        <sz val="8"/>
        <color indexed="8"/>
        <rFont val="SegoeUI"/>
      </rPr>
      <t>Passenger transport by railway (S)</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</si>
  <si>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</si>
  <si>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 Transport of individuals and groups of persons and luggage by train, tram and underground. Includes: transport of private vehicles. Excludes: funicular transport (07.3.6).</t>
    </r>
  </si>
  <si>
    <t>97</t>
  </si>
  <si>
    <r>
      <rPr>
        <sz val="8"/>
        <color indexed="8"/>
        <rFont val="SegoeUI"/>
      </rPr>
      <t>Keleivinių vežimas keliais (S)</t>
    </r>
  </si>
  <si>
    <r>
      <rPr>
        <sz val="8"/>
        <color indexed="8"/>
        <rFont val="SegoeUI"/>
      </rPr>
      <t>Passenger transport by road (S)</t>
    </r>
  </si>
  <si>
    <r>
      <rPr>
        <sz val="8"/>
        <color indexed="8"/>
        <rFont val="SegoeUI"/>
      </rPr>
      <t>- Individualių keleivių ir grupių bei jų bagažo vežimas įvairių klasių autobusais, taksi ir nuomotais automobiliais su vairuotojais.</t>
    </r>
  </si>
  <si>
    <r>
      <rPr>
        <sz val="8"/>
        <color indexed="8"/>
        <rFont val="SegoeUI"/>
      </rPr>
      <t>- Transport of individuals and groups of persons and luggage by bus, coach, taxi and hired car with driver.</t>
    </r>
  </si>
  <si>
    <t>98</t>
  </si>
  <si>
    <r>
      <rPr>
        <sz val="8"/>
        <color indexed="8"/>
        <rFont val="SegoeUI"/>
      </rPr>
      <t>Keleivinių vežimas oru (S)</t>
    </r>
  </si>
  <si>
    <r>
      <rPr>
        <sz val="8"/>
        <color indexed="8"/>
        <rFont val="SegoeUI"/>
      </rPr>
      <t>Passenger transport by air (S)</t>
    </r>
  </si>
  <si>
    <r>
      <rPr>
        <sz val="8"/>
        <color indexed="8"/>
        <rFont val="SegoeUI"/>
      </rPr>
      <t>- Individualių keleivių ir grupių bei jų bagažo vežimas lėktuvais arba sraigtasparniais.</t>
    </r>
  </si>
  <si>
    <r>
      <rPr>
        <sz val="8"/>
        <color indexed="8"/>
        <rFont val="SegoeUI"/>
      </rPr>
      <t>- Transport of individuals and groups of persons and luggage by aeroplane and helicopter.</t>
    </r>
  </si>
  <si>
    <t>99</t>
  </si>
  <si>
    <r>
      <rPr>
        <sz val="8"/>
        <color indexed="8"/>
        <rFont val="SegoeUI"/>
      </rPr>
      <t>Keleivių vežimas jūrų ir vidaus vandenimis (S)</t>
    </r>
  </si>
  <si>
    <r>
      <rPr>
        <sz val="8"/>
        <color indexed="8"/>
        <rFont val="SegoeUI"/>
      </rPr>
      <t>Passenger transport by sea and inland waterway (S)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</si>
  <si>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</si>
  <si>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 Transport of individuals and groups of persons and luggage by ship, boat, ferry, hovercraft and hydrofoil. Includes: transport of private vehicles.</t>
    </r>
  </si>
  <si>
    <t>100</t>
  </si>
  <si>
    <t>07.3.5</t>
  </si>
  <si>
    <r>
      <rPr>
        <sz val="8"/>
        <color indexed="8"/>
        <rFont val="SegoeUI"/>
      </rPr>
      <t>Mišrusis keleivių vežimas (S)</t>
    </r>
  </si>
  <si>
    <r>
      <rPr>
        <sz val="8"/>
        <color indexed="8"/>
        <rFont val="SegoeUI"/>
      </rPr>
      <t>Combined passenger transport (S)</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</si>
  <si>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</si>
  <si>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</si>
  <si>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t>101</t>
  </si>
  <si>
    <r>
      <rPr>
        <sz val="8"/>
        <color indexed="8"/>
        <rFont val="SegoeUI"/>
      </rPr>
      <t>Kitos transporto paslaugos (S)</t>
    </r>
  </si>
  <si>
    <r>
      <rPr>
        <sz val="8"/>
        <color indexed="8"/>
        <rFont val="SegoeUI"/>
      </rPr>
      <t>Other purchased transport services (S)</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</si>
  <si>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</si>
  <si>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</si>
  <si>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t>102</t>
  </si>
  <si>
    <t>08.</t>
  </si>
  <si>
    <r>
      <rPr>
        <sz val="8"/>
        <color indexed="8"/>
        <rFont val="SegoeUI"/>
      </rPr>
      <t>RYŠIAI</t>
    </r>
  </si>
  <si>
    <r>
      <rPr>
        <sz val="8"/>
        <color indexed="8"/>
        <rFont val="SegoeUI"/>
      </rPr>
      <t>COMMUNICATION</t>
    </r>
  </si>
  <si>
    <t>103</t>
  </si>
  <si>
    <t>08.1</t>
  </si>
  <si>
    <r>
      <rPr>
        <sz val="8"/>
        <color indexed="8"/>
        <rFont val="SegoeUI"/>
      </rPr>
      <t>PAŠTO PASLAUGOS</t>
    </r>
  </si>
  <si>
    <r>
      <rPr>
        <sz val="8"/>
        <color indexed="8"/>
        <rFont val="SegoeUI"/>
      </rPr>
      <t>POSTAL SERVICES</t>
    </r>
  </si>
  <si>
    <t>EUR_HE0810</t>
  </si>
  <si>
    <t>104</t>
  </si>
  <si>
    <t>08.1.0</t>
  </si>
  <si>
    <r>
      <rPr>
        <sz val="8"/>
        <color indexed="8"/>
        <rFont val="SegoeUI"/>
      </rPr>
      <t>Pašto paslaugos (S)</t>
    </r>
  </si>
  <si>
    <r>
      <rPr>
        <sz val="8"/>
        <color indexed="8"/>
        <rFont val="SegoeUI"/>
      </rPr>
      <t>Postal services (S)</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</si>
  <si>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</si>
  <si>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</si>
  <si>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t>105</t>
  </si>
  <si>
    <t>08.2</t>
  </si>
  <si>
    <r>
      <rPr>
        <sz val="8"/>
        <color indexed="8"/>
        <rFont val="SegoeUI"/>
      </rPr>
      <t>Telefonų ir telefaksų įranga</t>
    </r>
  </si>
  <si>
    <r>
      <rPr>
        <sz val="8"/>
        <color indexed="8"/>
        <rFont val="SegoeUI"/>
      </rPr>
      <t>TELEPHONE AND TELEFAX EQUIPMENT</t>
    </r>
  </si>
  <si>
    <t>EUR_HE0820</t>
  </si>
  <si>
    <t>106</t>
  </si>
  <si>
    <t>08.2.0</t>
  </si>
  <si>
    <r>
      <rPr>
        <sz val="8"/>
        <color indexed="8"/>
        <rFont val="SegoeUI"/>
      </rPr>
      <t>Telefonų ir telefaksų įranga (D)</t>
    </r>
  </si>
  <si>
    <r>
      <rPr>
        <sz val="8"/>
        <color indexed="8"/>
        <rFont val="SegoeUI"/>
      </rPr>
      <t>Telephone and telefax equipment (D)</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</si>
  <si>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</si>
  <si>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</si>
  <si>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t>107</t>
  </si>
  <si>
    <t>08.3</t>
  </si>
  <si>
    <r>
      <rPr>
        <sz val="8"/>
        <color indexed="8"/>
        <rFont val="SegoeUI"/>
      </rPr>
      <t>Telefono ir telefakso paslaugos</t>
    </r>
  </si>
  <si>
    <r>
      <rPr>
        <sz val="8"/>
        <color indexed="8"/>
        <rFont val="SegoeUI"/>
      </rPr>
      <t>TELEPHONE AND TELEFAX SERVICES</t>
    </r>
  </si>
  <si>
    <t>EUR_HE0830</t>
  </si>
  <si>
    <t>108</t>
  </si>
  <si>
    <t>08.3.0</t>
  </si>
  <si>
    <r>
      <rPr>
        <sz val="8"/>
        <color indexed="8"/>
        <rFont val="SegoeUI"/>
      </rPr>
      <t>Telefono ir telefakso paslaugos (S)</t>
    </r>
  </si>
  <si>
    <r>
      <rPr>
        <sz val="8"/>
        <color indexed="8"/>
        <rFont val="SegoeUI"/>
      </rPr>
      <t>Telephone and telefax services (S)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</si>
  <si>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</si>
  <si>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</si>
  <si>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t>109</t>
  </si>
  <si>
    <t>09.</t>
  </si>
  <si>
    <r>
      <rPr>
        <sz val="8"/>
        <color indexed="8"/>
        <rFont val="SegoeUI"/>
      </rPr>
      <t>POILSIS IR KULTŪRA</t>
    </r>
  </si>
  <si>
    <r>
      <rPr>
        <sz val="8"/>
        <color indexed="8"/>
        <rFont val="SegoeUI"/>
      </rPr>
      <t>RECREATION AND CULTURE</t>
    </r>
  </si>
  <si>
    <t>110</t>
  </si>
  <si>
    <t>09.1</t>
  </si>
  <si>
    <r>
      <rPr>
        <sz val="8"/>
        <color indexed="8"/>
        <rFont val="SegoeUI"/>
      </rPr>
      <t>Audiovizualiniai, fotografijos ir duomenų dorojimo įrenginiai</t>
    </r>
  </si>
  <si>
    <r>
      <rPr>
        <sz val="8"/>
        <color indexed="8"/>
        <rFont val="SegoeUI"/>
      </rPr>
      <t>AUDIO-VISUAL, PHOTOGRAPHIC AND INFORMATION PROCESSING EQUIPMENT</t>
    </r>
  </si>
  <si>
    <t>111</t>
  </si>
  <si>
    <r>
      <rPr>
        <sz val="8"/>
        <color indexed="8"/>
        <rFont val="SegoeUI"/>
      </rPr>
      <t>Garso ir vaizdo priėmimo, įrašymo ir atgaminimo įrenginiai (D)</t>
    </r>
  </si>
  <si>
    <r>
      <rPr>
        <sz val="8"/>
        <color indexed="8"/>
        <rFont val="SegoeUI"/>
      </rPr>
      <t>Equipment for the reception, recording and reproduction of sound and pictures (D)</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</si>
  <si>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</si>
  <si>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</si>
  <si>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t>112</t>
  </si>
  <si>
    <r>
      <rPr>
        <sz val="8"/>
        <color indexed="8"/>
        <rFont val="SegoeUI"/>
      </rPr>
      <t>Fotografijos ir kinematografijos įrenginiai ir optikos prietaisai (D)</t>
    </r>
  </si>
  <si>
    <r>
      <rPr>
        <sz val="8"/>
        <color indexed="8"/>
        <rFont val="SegoeUI"/>
      </rPr>
      <t>Photographic and cinematographic equipment and optical instruments (D)</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</si>
  <si>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</si>
  <si>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</si>
  <si>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t>113</t>
  </si>
  <si>
    <r>
      <rPr>
        <sz val="8"/>
        <color indexed="8"/>
        <rFont val="SegoeUI"/>
      </rPr>
      <t>Informacijos apdorojimo įrenginiai (D)</t>
    </r>
  </si>
  <si>
    <r>
      <rPr>
        <sz val="8"/>
        <color indexed="8"/>
        <rFont val="SegoeUI"/>
      </rPr>
      <t>Information processing equipment (D)</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</si>
  <si>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</si>
  <si>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</si>
  <si>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t>114</t>
  </si>
  <si>
    <r>
      <rPr>
        <sz val="8"/>
        <color indexed="8"/>
        <rFont val="SegoeUI"/>
      </rPr>
      <t>Įrašų laikmenos (SD)</t>
    </r>
  </si>
  <si>
    <r>
      <rPr>
        <sz val="8"/>
        <color indexed="8"/>
        <rFont val="SegoeUI"/>
      </rPr>
      <t>Recording media (SD)</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</si>
  <si>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</si>
  <si>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</si>
  <si>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t>115</t>
  </si>
  <si>
    <r>
      <rPr>
        <sz val="8"/>
        <color indexed="8"/>
        <rFont val="SegoeUI"/>
      </rPr>
      <t>Audiovizualinių, fotografijos ir informacijos apdorojimo įrenginių bei reikmenų taisymas (S)</t>
    </r>
  </si>
  <si>
    <r>
      <rPr>
        <sz val="8"/>
        <color indexed="8"/>
        <rFont val="SegoeUI"/>
      </rPr>
      <t>Repair of audio-visual, photographic and information processing equipment (S)</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</si>
  <si>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</si>
  <si>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</si>
  <si>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t>116</t>
  </si>
  <si>
    <t>09.2</t>
  </si>
  <si>
    <r>
      <rPr>
        <sz val="8"/>
        <color indexed="8"/>
        <rFont val="SegoeUI"/>
      </rPr>
      <t>KITI POILSIUI IR KULTŪRAI SKIRTI PAGRINDINIAI ILGALAIKIO NAUDOJIMO REIKMENYS</t>
    </r>
  </si>
  <si>
    <r>
      <rPr>
        <sz val="8"/>
        <color indexed="8"/>
        <rFont val="SegoeUI"/>
      </rPr>
      <t>OTHER MAJOR DURABLES FOR RECREATION AND CULTURE</t>
    </r>
  </si>
  <si>
    <t>117</t>
  </si>
  <si>
    <r>
      <rPr>
        <sz val="8"/>
        <color indexed="8"/>
        <rFont val="SegoeUI"/>
      </rPr>
      <t>Pagrindiniai poilsiui skirti ilgalaikio naudojimo reikmenys (D)</t>
    </r>
  </si>
  <si>
    <r>
      <rPr>
        <sz val="8"/>
        <color indexed="8"/>
        <rFont val="SegoeUI"/>
      </rPr>
      <t>Major durables for outdoor recreation (D)</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</si>
  <si>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</si>
  <si>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</si>
  <si>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t>118</t>
  </si>
  <si>
    <r>
      <rPr>
        <sz val="8"/>
        <color indexed="8"/>
        <rFont val="SegoeUI"/>
      </rPr>
      <t>Muzikos instrumentai ir pagrindiniai ilgalaikio naudojimo reikmenys, skirti poilsiui patalpose (D)</t>
    </r>
  </si>
  <si>
    <r>
      <rPr>
        <sz val="8"/>
        <color indexed="8"/>
        <rFont val="SegoeUI"/>
      </rPr>
      <t>Musical instruments and major durables for indoor recreation (D)</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</si>
  <si>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</si>
  <si>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</si>
  <si>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t>119</t>
  </si>
  <si>
    <r>
      <rPr>
        <sz val="8"/>
        <color indexed="8"/>
        <rFont val="SegoeUI"/>
      </rPr>
      <t>Kitų poilsiui ir kultūrai skirtų pagrindinių ilgalaikio naudojimo reikmenų techninė priežiūra ir remontas (S)</t>
    </r>
  </si>
  <si>
    <r>
      <rPr>
        <sz val="8"/>
        <color indexed="8"/>
        <rFont val="SegoeUI"/>
      </rPr>
      <t>Maintenance and repair of other major durables for recreation and culture (S)</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</si>
  <si>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</si>
  <si>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</si>
  <si>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t>120</t>
  </si>
  <si>
    <t>09.3</t>
  </si>
  <si>
    <r>
      <rPr>
        <sz val="8"/>
        <color indexed="8"/>
        <rFont val="SegoeUI"/>
      </rPr>
      <t>KITI POILSIO REIKMENYS IR ĮRENGINIAI, SODAI IR NAMINIAI GYVŪNĖLIAI</t>
    </r>
  </si>
  <si>
    <r>
      <rPr>
        <sz val="8"/>
        <color indexed="8"/>
        <rFont val="SegoeUI"/>
      </rPr>
      <t>OTHER RECREATIONAL ITEMS AND EQUIPMENT, GARDENS AND PETS</t>
    </r>
  </si>
  <si>
    <t>121</t>
  </si>
  <si>
    <r>
      <rPr>
        <sz val="8"/>
        <color indexed="8"/>
        <rFont val="SegoeUI"/>
      </rPr>
      <t>Žaidimai, žaislai ir mėgstami dalykai (SD)</t>
    </r>
  </si>
  <si>
    <r>
      <rPr>
        <sz val="8"/>
        <color indexed="8"/>
        <rFont val="SegoeUI"/>
      </rPr>
      <t>Games, toys and hobbies (SD)</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</si>
  <si>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</si>
  <si>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</si>
  <si>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t>122</t>
  </si>
  <si>
    <r>
      <rPr>
        <sz val="8"/>
        <color indexed="8"/>
        <rFont val="SegoeUI"/>
      </rPr>
      <t>Įrenginiai sportui, stovyklavimui ir poilsiui lauke (SD)</t>
    </r>
  </si>
  <si>
    <r>
      <rPr>
        <sz val="8"/>
        <color indexed="8"/>
        <rFont val="SegoeUI"/>
      </rPr>
      <t>Equipment for sport, camping and open-air recreation (SD)</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</si>
  <si>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</si>
  <si>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</si>
  <si>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t>123</t>
  </si>
  <si>
    <r>
      <rPr>
        <sz val="8"/>
        <color indexed="8"/>
        <rFont val="SegoeUI"/>
      </rPr>
      <t>Sodai, augalai ir gėlės (ND)</t>
    </r>
  </si>
  <si>
    <r>
      <rPr>
        <sz val="8"/>
        <color indexed="8"/>
        <rFont val="SegoeUI"/>
      </rPr>
      <t>Gardens, plants and flowers (ND)</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</si>
  <si>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</si>
  <si>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</si>
  <si>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t>124</t>
  </si>
  <si>
    <r>
      <rPr>
        <sz val="8"/>
        <color indexed="8"/>
        <rFont val="SegoeUI"/>
      </rPr>
      <t>Naminiai gyvūnėliai ir su jais susiję gaminiai (ND)</t>
    </r>
  </si>
  <si>
    <r>
      <rPr>
        <sz val="8"/>
        <color indexed="8"/>
        <rFont val="SegoeUI"/>
      </rPr>
      <t>Pets and related products (ND)</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</si>
  <si>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</si>
  <si>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 Pets, pet foods, veterinary and grooming products for pets, collars, leashes, kennels, birdcages, fish tanks, cat litter, etc. Excludes: horses and ponies (07.1.4) or (09.2.1); veterinary services (09.3.5).</t>
    </r>
  </si>
  <si>
    <t>125</t>
  </si>
  <si>
    <r>
      <rPr>
        <sz val="8"/>
        <color indexed="8"/>
        <rFont val="SegoeUI"/>
      </rPr>
      <t>Veterinarijos ir kitokios paslaugos naminiams gyvūnėliams (S)</t>
    </r>
  </si>
  <si>
    <r>
      <rPr>
        <sz val="8"/>
        <color indexed="8"/>
        <rFont val="SegoeUI"/>
      </rPr>
      <t>Veterinary and other services for pets (S)</t>
    </r>
  </si>
  <si>
    <r>
      <rPr>
        <sz val="8"/>
        <color indexed="8"/>
        <rFont val="SegoeUI"/>
      </rPr>
      <t>- Veterinarijos ir kitokios paslaugos naminiams gyvūnėliams, tokios kaip priežiūra, laikymas pensionate, tatuiravimas ir dresavimas.</t>
    </r>
  </si>
  <si>
    <r>
      <rPr>
        <sz val="8"/>
        <color indexed="8"/>
        <rFont val="SegoeUI"/>
      </rPr>
      <t>- Veterinary and other services for pets such as grooming, boarding, tattooing and training.</t>
    </r>
  </si>
  <si>
    <t>126</t>
  </si>
  <si>
    <t>09.4</t>
  </si>
  <si>
    <r>
      <rPr>
        <sz val="8"/>
        <color indexed="8"/>
        <rFont val="SegoeUI"/>
      </rPr>
      <t>POILSIO IR KULTŪROS PASLAUGOS</t>
    </r>
  </si>
  <si>
    <r>
      <rPr>
        <sz val="8"/>
        <color indexed="8"/>
        <rFont val="SegoeUI"/>
      </rPr>
      <t>RECREATIONAL AND CULTURAL SERVICES</t>
    </r>
  </si>
  <si>
    <t>127</t>
  </si>
  <si>
    <r>
      <rPr>
        <sz val="8"/>
        <color indexed="8"/>
        <rFont val="SegoeUI"/>
      </rPr>
      <t>Poilsio ir sporto paslaugos (S)</t>
    </r>
  </si>
  <si>
    <r>
      <rPr>
        <sz val="8"/>
        <color indexed="8"/>
        <rFont val="SegoeUI"/>
      </rPr>
      <t>Recreational and sporting services (S)</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</si>
  <si>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</si>
  <si>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</si>
  <si>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t>128</t>
  </si>
  <si>
    <r>
      <rPr>
        <sz val="8"/>
        <color indexed="8"/>
        <rFont val="SegoeUI"/>
      </rPr>
      <t>Kultūros paslaugos (S)</t>
    </r>
  </si>
  <si>
    <r>
      <rPr>
        <sz val="8"/>
        <color indexed="8"/>
        <rFont val="SegoeUI"/>
      </rPr>
      <t>Cultural services (S)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</si>
  <si>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</si>
  <si>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</si>
  <si>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t>129</t>
  </si>
  <si>
    <r>
      <rPr>
        <sz val="8"/>
        <color indexed="8"/>
        <rFont val="SegoeUI"/>
      </rPr>
      <t>Azartiniai lošimai (S)</t>
    </r>
  </si>
  <si>
    <r>
      <rPr>
        <sz val="8"/>
        <color indexed="8"/>
        <rFont val="SegoeUI"/>
      </rPr>
      <t>Games of chance (S)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</si>
  <si>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</si>
  <si>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</si>
  <si>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t>130</t>
  </si>
  <si>
    <t>09.5</t>
  </si>
  <si>
    <r>
      <rPr>
        <sz val="8"/>
        <color indexed="8"/>
        <rFont val="SegoeUI"/>
      </rPr>
      <t>LAIKRAŠČIAI, KNYGOS IR RAŠTINĖS REIKMENYS</t>
    </r>
  </si>
  <si>
    <r>
      <rPr>
        <sz val="8"/>
        <color indexed="8"/>
        <rFont val="SegoeUI"/>
      </rPr>
      <t>NEWSPAPERS, BOOKS AND STATIONERY</t>
    </r>
  </si>
  <si>
    <t>131</t>
  </si>
  <si>
    <r>
      <rPr>
        <sz val="8"/>
        <color indexed="8"/>
        <rFont val="SegoeUI"/>
      </rPr>
      <t>Knygos (SD)</t>
    </r>
  </si>
  <si>
    <r>
      <rPr>
        <sz val="8"/>
        <color indexed="8"/>
        <rFont val="SegoeUI"/>
      </rPr>
      <t>Books (SD)</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</si>
  <si>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</si>
  <si>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 Books, including atlases, dictionaries, encyclopaedias, text books, guidebooks and musical scores. Includes: scrapbooks and albums for children; book binding. Excludes: stamp albums (09.3.1).</t>
    </r>
  </si>
  <si>
    <t>132</t>
  </si>
  <si>
    <r>
      <rPr>
        <sz val="8"/>
        <color indexed="8"/>
        <rFont val="SegoeUI"/>
      </rPr>
      <t>Laikraščiai ir periodiniai leidiniai (ND)</t>
    </r>
  </si>
  <si>
    <r>
      <rPr>
        <sz val="8"/>
        <color indexed="8"/>
        <rFont val="SegoeUI"/>
      </rPr>
      <t>Newspapers and periodicals (ND)</t>
    </r>
  </si>
  <si>
    <r>
      <rPr>
        <sz val="8"/>
        <color indexed="8"/>
        <rFont val="SegoeUI"/>
      </rPr>
      <t>- Laikraščiai, žurnalai ir kiti periodiniai leidiniai.</t>
    </r>
  </si>
  <si>
    <r>
      <rPr>
        <sz val="8"/>
        <color indexed="8"/>
        <rFont val="SegoeUI"/>
      </rPr>
      <t>- Newspapers, magazines and other periodicals.</t>
    </r>
  </si>
  <si>
    <t>133</t>
  </si>
  <si>
    <r>
      <rPr>
        <sz val="8"/>
        <color indexed="8"/>
        <rFont val="SegoeUI"/>
      </rPr>
      <t>Įvairūs spaudiniai (ND)</t>
    </r>
  </si>
  <si>
    <r>
      <rPr>
        <sz val="8"/>
        <color indexed="8"/>
        <rFont val="SegoeUI"/>
      </rPr>
      <t>Miscellaneous printed matter (ND)</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</si>
  <si>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</si>
  <si>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</si>
  <si>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t>134</t>
  </si>
  <si>
    <r>
      <rPr>
        <sz val="8"/>
        <color indexed="8"/>
        <rFont val="SegoeUI"/>
      </rPr>
      <t>Raštinės reikmenys ir piešimo medžiagos (ND)</t>
    </r>
  </si>
  <si>
    <r>
      <rPr>
        <sz val="8"/>
        <color indexed="8"/>
        <rFont val="SegoeUI"/>
      </rPr>
      <t>Stationery and drawing materials (ND)</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</si>
  <si>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</si>
  <si>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</si>
  <si>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t>135</t>
  </si>
  <si>
    <t>09.6</t>
  </si>
  <si>
    <r>
      <rPr>
        <sz val="8"/>
        <color indexed="8"/>
        <rFont val="SegoeUI"/>
      </rPr>
      <t>ATOSTOGŲ IŠVYKOS</t>
    </r>
  </si>
  <si>
    <r>
      <rPr>
        <sz val="8"/>
        <color indexed="8"/>
        <rFont val="SegoeUI"/>
      </rPr>
      <t>PACKAGE HOLIDAYS</t>
    </r>
  </si>
  <si>
    <t>EUR_HE0960</t>
  </si>
  <si>
    <t>136</t>
  </si>
  <si>
    <t>09.6.0</t>
  </si>
  <si>
    <r>
      <rPr>
        <sz val="8"/>
        <color indexed="8"/>
        <rFont val="SegoeUI"/>
      </rPr>
      <t>Atostogų išvykos (S)</t>
    </r>
  </si>
  <si>
    <r>
      <rPr>
        <sz val="8"/>
        <color indexed="8"/>
        <rFont val="SegoeUI"/>
      </rPr>
      <t>Package holidays (S)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</si>
  <si>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</si>
  <si>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 All inclusive holidays or tours which provide for travel, food, accommodation, guides, etc. Includes: half-day and one-day excursion tours; pilgrimages.</t>
    </r>
  </si>
  <si>
    <t>137</t>
  </si>
  <si>
    <t>10.</t>
  </si>
  <si>
    <r>
      <rPr>
        <sz val="8"/>
        <color indexed="8"/>
        <rFont val="SegoeUI"/>
      </rPr>
      <t>ŠVIETIMAS</t>
    </r>
  </si>
  <si>
    <r>
      <rPr>
        <sz val="8"/>
        <color indexed="8"/>
        <rFont val="SegoeUI"/>
      </rPr>
      <t>EDUCATION</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</si>
  <si>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</si>
  <si>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</si>
  <si>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t>138</t>
  </si>
  <si>
    <t>10.1</t>
  </si>
  <si>
    <r>
      <rPr>
        <sz val="8"/>
        <color indexed="8"/>
        <rFont val="SegoeUI"/>
      </rPr>
      <t>Ikimokyklinis ir pradinis mokymas</t>
    </r>
  </si>
  <si>
    <r>
      <rPr>
        <sz val="8"/>
        <color indexed="8"/>
        <rFont val="SegoeUI"/>
      </rPr>
      <t>PRE-PRIMARY AND PRIMARY EDUCATION</t>
    </r>
  </si>
  <si>
    <t>EUR_HE1010</t>
  </si>
  <si>
    <t>139</t>
  </si>
  <si>
    <t>10.1.0</t>
  </si>
  <si>
    <r>
      <rPr>
        <sz val="8"/>
        <color indexed="8"/>
        <rFont val="SegoeUI"/>
      </rPr>
      <t>Ikimokyklinis ir pradinis mokymas (S)</t>
    </r>
  </si>
  <si>
    <r>
      <rPr>
        <sz val="8"/>
        <color indexed="8"/>
        <rFont val="SegoeUI"/>
      </rPr>
      <t>Pre-primary and primary education (S)</t>
    </r>
  </si>
  <si>
    <r>
      <rPr>
        <sz val="8"/>
        <color indexed="8"/>
        <rFont val="SegoeUI"/>
      </rPr>
      <t>- ISCED-97 klasifikacijos 0 ir 1 lygmenys: ikimokyklinis ir pradinis mokymas. Apima: suaugusiųjų raštingumo mokymo programos.</t>
    </r>
  </si>
  <si>
    <r>
      <rPr>
        <sz val="8"/>
        <color indexed="8"/>
        <rFont val="SegoeUI"/>
      </rPr>
      <t>- Levels 0 and 1 of ISCED-97: pre-primary and primary education. Includes: literacy programmes for students too old for primary school.</t>
    </r>
  </si>
  <si>
    <t>140</t>
  </si>
  <si>
    <t>10.2</t>
  </si>
  <si>
    <r>
      <rPr>
        <sz val="8"/>
        <color indexed="8"/>
        <rFont val="SegoeUI"/>
      </rPr>
      <t>VIDURINIS MOKYMAS</t>
    </r>
  </si>
  <si>
    <r>
      <rPr>
        <sz val="8"/>
        <color indexed="8"/>
        <rFont val="SegoeUI"/>
      </rPr>
      <t>SECONDARY EDUCATION</t>
    </r>
  </si>
  <si>
    <t>EUR_HE1020</t>
  </si>
  <si>
    <t>141</t>
  </si>
  <si>
    <t>10.2.0</t>
  </si>
  <si>
    <r>
      <rPr>
        <sz val="8"/>
        <color indexed="8"/>
        <rFont val="SegoeUI"/>
      </rPr>
      <t>Vidurinis mokymas (S)</t>
    </r>
  </si>
  <si>
    <r>
      <rPr>
        <sz val="8"/>
        <color indexed="8"/>
        <rFont val="SegoeUI"/>
      </rPr>
      <t>Secondary education (S)</t>
    </r>
  </si>
  <si>
    <r>
      <rPr>
        <sz val="8"/>
        <color indexed="8"/>
        <rFont val="SegoeUI"/>
      </rPr>
      <t>- ISCED-97 klasifikacijos 2 ir 3 lygmenys: žemesnysis vidurinis ir aukštesnysis vidurinis (antrinis) mokymas. Apima: vidurinis suaugusiųjų ir jaunimo mokymas ne mokykloje.</t>
    </r>
  </si>
  <si>
    <r>
      <rPr>
        <sz val="8"/>
        <color indexed="8"/>
        <rFont val="SegoeUI"/>
      </rPr>
      <t>- Levels 2 and 3 of ISCED-97: lower-secondary and upper-secondary education. Includes: out-of-school secondary education for adults and young people.</t>
    </r>
  </si>
  <si>
    <t>142</t>
  </si>
  <si>
    <t>10.3</t>
  </si>
  <si>
    <r>
      <rPr>
        <sz val="8"/>
        <color indexed="8"/>
        <rFont val="SegoeUI"/>
      </rPr>
      <t>AUKŠTOJO MOKSLO LAIPSNIO NESUTEIKIANTIS MOKYMAS, BAIGUS VIDURINĮ MOKYMĄ (POANTRINIS NE TRETINIS)</t>
    </r>
  </si>
  <si>
    <r>
      <rPr>
        <sz val="8"/>
        <color indexed="8"/>
        <rFont val="SegoeUI"/>
      </rPr>
      <t>POST-SECONDARY NON-TERTIARY EDUCATION</t>
    </r>
  </si>
  <si>
    <t>EUR_HE1030</t>
  </si>
  <si>
    <t>143</t>
  </si>
  <si>
    <t>10.3.0</t>
  </si>
  <si>
    <r>
      <rPr>
        <sz val="8"/>
        <color indexed="8"/>
        <rFont val="SegoeUI"/>
      </rPr>
      <t>Aukštojo mokslo laipsnio nesuteikiantis mokymas, baigus vidurinį mokymą (poantrinis ne tretinis) (S)</t>
    </r>
  </si>
  <si>
    <r>
      <rPr>
        <sz val="8"/>
        <color indexed="8"/>
        <rFont val="SegoeUI"/>
      </rPr>
      <t>Post-secondary non-tertiary education (S)</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</si>
  <si>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</si>
  <si>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r>
      <rPr>
        <sz val="8"/>
        <color indexed="8"/>
        <rFont val="SegoeUI"/>
      </rPr>
      <t>- Level 4 of ISCED-97: post-secondary non-tertiary education. Includes: out-of-school post-secondary non-tertiary education for adults and young people.</t>
    </r>
  </si>
  <si>
    <t>144</t>
  </si>
  <si>
    <t>10.4</t>
  </si>
  <si>
    <r>
      <rPr>
        <sz val="8"/>
        <color indexed="8"/>
        <rFont val="SegoeUI"/>
      </rPr>
      <t>AUKŠTASIS (TRETINIS) MOKYMAS</t>
    </r>
  </si>
  <si>
    <r>
      <rPr>
        <sz val="8"/>
        <color indexed="8"/>
        <rFont val="SegoeUI"/>
      </rPr>
      <t>TERTIARY EDUCATION</t>
    </r>
  </si>
  <si>
    <t>EUR_HE1040</t>
  </si>
  <si>
    <t>145</t>
  </si>
  <si>
    <t>10.4.0</t>
  </si>
  <si>
    <r>
      <rPr>
        <sz val="8"/>
        <color indexed="8"/>
        <rFont val="SegoeUI"/>
      </rPr>
      <t>Aukštasis (tretinis) mokslas (S)</t>
    </r>
  </si>
  <si>
    <r>
      <rPr>
        <sz val="8"/>
        <color indexed="8"/>
        <rFont val="SegoeUI"/>
      </rPr>
      <t>Tertiary education (S)</t>
    </r>
  </si>
  <si>
    <r>
      <rPr>
        <sz val="8"/>
        <color indexed="8"/>
        <rFont val="SegoeUI"/>
      </rPr>
      <t>- ISCED-97 klasifikacijos 5 ir 6 lygmenys: pirmoji ir antroji aukštojo (tretinio) mokslo pakopos.</t>
    </r>
  </si>
  <si>
    <r>
      <rPr>
        <sz val="8"/>
        <color indexed="8"/>
        <rFont val="SegoeUI"/>
      </rPr>
      <t>- Levels 5 and 6 of ISCED-97: first stage and second stage of tertiary education.</t>
    </r>
  </si>
  <si>
    <t>146</t>
  </si>
  <si>
    <t>10.5</t>
  </si>
  <si>
    <r>
      <rPr>
        <sz val="8"/>
        <color indexed="8"/>
        <rFont val="SegoeUI"/>
      </rPr>
      <t>Švietimo paslaugos, neskaidomos pagal lygmenis</t>
    </r>
  </si>
  <si>
    <r>
      <rPr>
        <sz val="8"/>
        <color indexed="8"/>
        <rFont val="SegoeUI"/>
      </rPr>
      <t>EDUCATION NOT DEFINABLE BY LEVEL</t>
    </r>
  </si>
  <si>
    <t>EUR_HE1050</t>
  </si>
  <si>
    <t>147</t>
  </si>
  <si>
    <t>10.5.0</t>
  </si>
  <si>
    <r>
      <rPr>
        <sz val="8"/>
        <color indexed="8"/>
        <rFont val="SegoeUI"/>
      </rPr>
      <t>Švietimo paslaugos, neskaidomos pagal lygmenis (S)</t>
    </r>
  </si>
  <si>
    <r>
      <rPr>
        <sz val="8"/>
        <color indexed="8"/>
        <rFont val="SegoeUI"/>
      </rPr>
      <t>Education not definable by level (S)</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</si>
  <si>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</si>
  <si>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</si>
  <si>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t>148</t>
  </si>
  <si>
    <t>11.</t>
  </si>
  <si>
    <r>
      <rPr>
        <sz val="8"/>
        <color indexed="8"/>
        <rFont val="SegoeUI"/>
      </rPr>
      <t>RESTORANAI IR VIEŠBUČIAI</t>
    </r>
  </si>
  <si>
    <r>
      <rPr>
        <sz val="8"/>
        <color indexed="8"/>
        <rFont val="SegoeUI"/>
      </rPr>
      <t>RESTAURANTS AND HOTELS</t>
    </r>
  </si>
  <si>
    <t>149</t>
  </si>
  <si>
    <t>11.1</t>
  </si>
  <si>
    <r>
      <rPr>
        <sz val="8"/>
        <color indexed="8"/>
        <rFont val="SegoeUI"/>
      </rPr>
      <t>MAISTO TIEKIMO PASLAUGOS</t>
    </r>
  </si>
  <si>
    <r>
      <rPr>
        <sz val="8"/>
        <color indexed="8"/>
        <rFont val="SegoeUI"/>
      </rPr>
      <t>CATERING SERVICES</t>
    </r>
  </si>
  <si>
    <t>150</t>
  </si>
  <si>
    <r>
      <rPr>
        <sz val="8"/>
        <color indexed="8"/>
        <rFont val="SegoeUI"/>
      </rPr>
      <t>Restoranai, kavinės ir panašios įstaigos (S)</t>
    </r>
  </si>
  <si>
    <r>
      <rPr>
        <sz val="8"/>
        <color indexed="8"/>
        <rFont val="SegoeUI"/>
      </rPr>
      <t>Restaurants, cafés and the like (S)</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</si>
  <si>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</si>
  <si>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</si>
  <si>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t>151</t>
  </si>
  <si>
    <r>
      <rPr>
        <sz val="8"/>
        <color indexed="8"/>
        <rFont val="SegoeUI"/>
      </rPr>
      <t>Valgyklos (S)</t>
    </r>
  </si>
  <si>
    <r>
      <rPr>
        <sz val="8"/>
        <color indexed="8"/>
        <rFont val="SegoeUI"/>
      </rPr>
      <t>Canteens (S)</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</si>
  <si>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</si>
  <si>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</si>
  <si>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t>152</t>
  </si>
  <si>
    <t>11.2</t>
  </si>
  <si>
    <r>
      <rPr>
        <sz val="8"/>
        <color indexed="8"/>
        <rFont val="SegoeUI"/>
      </rPr>
      <t>APGYVENDINIMO PASLAUGOS</t>
    </r>
  </si>
  <si>
    <r>
      <rPr>
        <sz val="8"/>
        <color indexed="8"/>
        <rFont val="SegoeUI"/>
      </rPr>
      <t>ACCOMMODATION SERVICES</t>
    </r>
  </si>
  <si>
    <t>EUR_HE1120</t>
  </si>
  <si>
    <t>153</t>
  </si>
  <si>
    <t>11.2.0</t>
  </si>
  <si>
    <r>
      <rPr>
        <sz val="8"/>
        <color indexed="8"/>
        <rFont val="SegoeUI"/>
      </rPr>
      <t>Apgyvendinimo paslaugos (S)</t>
    </r>
  </si>
  <si>
    <r>
      <rPr>
        <sz val="8"/>
        <color indexed="8"/>
        <rFont val="SegoeUI"/>
      </rPr>
      <t>Accommodation services (S)</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</si>
  <si>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</si>
  <si>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</si>
  <si>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t>154</t>
  </si>
  <si>
    <t>12.</t>
  </si>
  <si>
    <r>
      <rPr>
        <sz val="8"/>
        <color indexed="8"/>
        <rFont val="SegoeUI"/>
      </rPr>
      <t>ĮVAIRIOS PREKĖS IR PASLAUGOS</t>
    </r>
  </si>
  <si>
    <r>
      <rPr>
        <sz val="8"/>
        <color indexed="8"/>
        <rFont val="SegoeUI"/>
      </rPr>
      <t>MISCELLANEOUS GOODS AND SERVICES</t>
    </r>
  </si>
  <si>
    <t>155</t>
  </si>
  <si>
    <t>12.1</t>
  </si>
  <si>
    <r>
      <rPr>
        <sz val="8"/>
        <color indexed="8"/>
        <rFont val="SegoeUI"/>
      </rPr>
      <t>ASMENS PRIEŽIŪRA</t>
    </r>
  </si>
  <si>
    <r>
      <rPr>
        <sz val="8"/>
        <color indexed="8"/>
        <rFont val="SegoeUI"/>
      </rPr>
      <t>PERSONAL CARE</t>
    </r>
  </si>
  <si>
    <t>156</t>
  </si>
  <si>
    <r>
      <rPr>
        <sz val="8"/>
        <color indexed="8"/>
        <rFont val="SegoeUI"/>
      </rPr>
      <t>Moterų ir vyrų kirpyklos ir asmens priežiūros įstaigos (S)</t>
    </r>
  </si>
  <si>
    <r>
      <rPr>
        <sz val="8"/>
        <color indexed="8"/>
        <rFont val="SegoeUI"/>
      </rPr>
      <t>Hairdressing salons and personal grooming establishments (S)</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</si>
  <si>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</si>
  <si>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</si>
  <si>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t>157</t>
  </si>
  <si>
    <r>
      <rPr>
        <sz val="8"/>
        <color indexed="8"/>
        <rFont val="SegoeUI"/>
      </rPr>
      <t>Elektriniai asmens priežiūros prietaisai (ND)</t>
    </r>
  </si>
  <si>
    <r>
      <rPr>
        <sz val="8"/>
        <color indexed="8"/>
        <rFont val="SegoeUI"/>
      </rPr>
      <t>Electric appliances for personal care (D)</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</si>
  <si>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</si>
  <si>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</si>
  <si>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t>158</t>
  </si>
  <si>
    <r>
      <rPr>
        <sz val="8"/>
        <color indexed="8"/>
        <rFont val="SegoeUI"/>
      </rPr>
      <t>Kiti neelektriniai asmens priežiūros prietaisai, reikmenys ir priemonės (ND)</t>
    </r>
  </si>
  <si>
    <r>
      <rPr>
        <sz val="8"/>
        <color indexed="8"/>
        <rFont val="SegoeUI"/>
      </rPr>
      <t>Other appliances, articles and products for personal care (ND)</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</si>
  <si>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</si>
  <si>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</si>
  <si>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t>159</t>
  </si>
  <si>
    <t>12.2</t>
  </si>
  <si>
    <r>
      <rPr>
        <sz val="8"/>
        <color indexed="8"/>
        <rFont val="SegoeUI"/>
      </rPr>
      <t>PROSTITUCIJA</t>
    </r>
  </si>
  <si>
    <r>
      <rPr>
        <sz val="8"/>
        <color indexed="8"/>
        <rFont val="SegoeUI"/>
      </rPr>
      <t>PROSTITUTION</t>
    </r>
  </si>
  <si>
    <t>EUR_HE1220</t>
  </si>
  <si>
    <t>160</t>
  </si>
  <si>
    <t>12.2.0</t>
  </si>
  <si>
    <r>
      <rPr>
        <sz val="8"/>
        <color indexed="8"/>
        <rFont val="SegoeUI"/>
      </rPr>
      <t>Prostitucija (S)</t>
    </r>
  </si>
  <si>
    <r>
      <rPr>
        <sz val="8"/>
        <color indexed="8"/>
        <rFont val="SegoeUI"/>
      </rPr>
      <t>Prostitution (S)</t>
    </r>
  </si>
  <si>
    <r>
      <rPr>
        <sz val="8"/>
        <color indexed="8"/>
        <rFont val="SegoeUI"/>
      </rPr>
      <t>- Prostitučių teikiamos ir pan. paslaugos.</t>
    </r>
  </si>
  <si>
    <r>
      <rPr>
        <sz val="8"/>
        <color indexed="8"/>
        <rFont val="SegoeUI"/>
      </rPr>
      <t>- Services provided by prostitutes and the like.</t>
    </r>
  </si>
  <si>
    <t>161</t>
  </si>
  <si>
    <t>12.3</t>
  </si>
  <si>
    <r>
      <rPr>
        <sz val="8"/>
        <color indexed="8"/>
        <rFont val="SegoeUI"/>
      </rPr>
      <t>KITI, NIEKUR KITUR NEPRISKIRTI, ASMENINIAI DAIKTAI</t>
    </r>
  </si>
  <si>
    <r>
      <rPr>
        <sz val="8"/>
        <color indexed="8"/>
        <rFont val="SegoeUI"/>
      </rPr>
      <t>PERSONAL EFFECTS N.E.C.</t>
    </r>
  </si>
  <si>
    <t>162</t>
  </si>
  <si>
    <r>
      <rPr>
        <sz val="8"/>
        <color indexed="8"/>
        <rFont val="SegoeUI"/>
      </rPr>
      <t>Juvelyriniai dirbiniai ir laikrodžiai (D)</t>
    </r>
  </si>
  <si>
    <r>
      <rPr>
        <sz val="8"/>
        <color indexed="8"/>
        <rFont val="SegoeUI"/>
      </rPr>
      <t>Jewellery, clocks and watches (D)</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</si>
  <si>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</si>
  <si>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</si>
  <si>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t>163</t>
  </si>
  <si>
    <r>
      <rPr>
        <sz val="8"/>
        <color indexed="8"/>
        <rFont val="SegoeUI"/>
      </rPr>
      <t>Kiti asmeniniai daiktai (SD)</t>
    </r>
  </si>
  <si>
    <r>
      <rPr>
        <sz val="8"/>
        <color indexed="8"/>
        <rFont val="SegoeUI"/>
      </rPr>
      <t>Other personal effects (SD)</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</si>
  <si>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</si>
  <si>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</si>
  <si>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t>164</t>
  </si>
  <si>
    <t>12.4</t>
  </si>
  <si>
    <r>
      <rPr>
        <sz val="8"/>
        <color indexed="8"/>
        <rFont val="SegoeUI"/>
      </rPr>
      <t>SOCIALINĖ APSAUGA</t>
    </r>
  </si>
  <si>
    <r>
      <rPr>
        <sz val="8"/>
        <color indexed="8"/>
        <rFont val="SegoeUI"/>
      </rPr>
      <t>SOCIAL PROTECTION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</si>
  <si>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</si>
  <si>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</si>
  <si>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t>EUR_HE1240</t>
  </si>
  <si>
    <t>165</t>
  </si>
  <si>
    <t>12.4.0</t>
  </si>
  <si>
    <r>
      <rPr>
        <sz val="8"/>
        <color indexed="8"/>
        <rFont val="SegoeUI"/>
      </rPr>
      <t>Socialinė apsauga (S)</t>
    </r>
  </si>
  <si>
    <r>
      <rPr>
        <sz val="8"/>
        <color indexed="8"/>
        <rFont val="SegoeUI"/>
      </rPr>
      <t>Social protection (S)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</si>
  <si>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</si>
  <si>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</si>
  <si>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t>166</t>
  </si>
  <si>
    <t>12.5</t>
  </si>
  <si>
    <r>
      <rPr>
        <sz val="8"/>
        <color indexed="8"/>
        <rFont val="SegoeUI"/>
      </rPr>
      <t>DRAUDIMAS</t>
    </r>
  </si>
  <si>
    <r>
      <rPr>
        <sz val="8"/>
        <color indexed="8"/>
        <rFont val="SegoeUI"/>
      </rPr>
      <t>INSURANCE</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</si>
  <si>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</si>
  <si>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</si>
  <si>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t>167</t>
  </si>
  <si>
    <r>
      <rPr>
        <sz val="8"/>
        <color indexed="8"/>
        <rFont val="SegoeUI"/>
      </rPr>
      <t>Gyvybės draudimas (S)</t>
    </r>
  </si>
  <si>
    <r>
      <rPr>
        <sz val="8"/>
        <color indexed="8"/>
        <rFont val="SegoeUI"/>
      </rPr>
      <t>Life insurance (S)</t>
    </r>
  </si>
  <si>
    <r>
      <rPr>
        <sz val="8"/>
        <color indexed="8"/>
        <rFont val="SegoeUI"/>
      </rPr>
      <t>- Gyvybės draudimo, draudimo, kai išmoka mokama apdraustajam mirus, išsilavinimo draudimo ir kt. paslaugų mokestis.</t>
    </r>
  </si>
  <si>
    <r>
      <rPr>
        <sz val="8"/>
        <color indexed="8"/>
        <rFont val="SegoeUI"/>
      </rPr>
      <t>- Service charges for life assurance, death benefit assurance, education assurance, etc.</t>
    </r>
  </si>
  <si>
    <t>168</t>
  </si>
  <si>
    <r>
      <rPr>
        <sz val="8"/>
        <color indexed="8"/>
        <rFont val="SegoeUI"/>
      </rPr>
      <t>Būsto draudimas (S)</t>
    </r>
  </si>
  <si>
    <r>
      <rPr>
        <sz val="8"/>
        <color indexed="8"/>
        <rFont val="SegoeUI"/>
      </rPr>
      <t>Insurance connected with the dwelling (S)</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</si>
  <si>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</si>
  <si>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</si>
  <si>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t>169</t>
  </si>
  <si>
    <r>
      <rPr>
        <sz val="8"/>
        <color indexed="8"/>
        <rFont val="SegoeUI"/>
      </rPr>
      <t>Sveikatos draudimas (S)</t>
    </r>
  </si>
  <si>
    <r>
      <rPr>
        <sz val="8"/>
        <color indexed="8"/>
        <rFont val="SegoeUI"/>
      </rPr>
      <t>Insurance connected with health (S)</t>
    </r>
  </si>
  <si>
    <r>
      <rPr>
        <sz val="8"/>
        <color indexed="8"/>
        <rFont val="SegoeUI"/>
      </rPr>
      <t>- Draudimo ligos atvejui ir draudimo nuo nelaimingų atsitikimų paslaugų mokestis.</t>
    </r>
  </si>
  <si>
    <r>
      <rPr>
        <sz val="8"/>
        <color indexed="8"/>
        <rFont val="SegoeUI"/>
      </rPr>
      <t>- Service charges for private sickness and accident insurance.</t>
    </r>
  </si>
  <si>
    <t>170</t>
  </si>
  <si>
    <r>
      <rPr>
        <sz val="8"/>
        <color indexed="8"/>
        <rFont val="SegoeUI"/>
      </rPr>
      <t>Transporto priemonių draudimas (S)</t>
    </r>
  </si>
  <si>
    <r>
      <rPr>
        <sz val="8"/>
        <color indexed="8"/>
        <rFont val="SegoeUI"/>
      </rPr>
      <t>Insurance connected with transport (S)</t>
    </r>
  </si>
  <si>
    <r>
      <rPr>
        <sz val="8"/>
        <color indexed="8"/>
        <rFont val="SegoeUI"/>
      </rPr>
      <t>- Asmeninių transporto priemonių draudimo paslaugų mokestis; - kelionių draudimo ir bagažo draudimo paslaugų mokestis.</t>
    </r>
  </si>
  <si>
    <r>
      <rPr>
        <sz val="8"/>
        <color indexed="8"/>
        <rFont val="SegoeUI"/>
      </rPr>
      <t>- Service charges for insurance in respect of personal transport equipment; - service charges for travel insurance and luggage insurance.</t>
    </r>
  </si>
  <si>
    <t>171</t>
  </si>
  <si>
    <r>
      <rPr>
        <sz val="8"/>
        <color indexed="8"/>
        <rFont val="SegoeUI"/>
      </rPr>
      <t>Kitos draudimo rūšys (S)</t>
    </r>
  </si>
  <si>
    <r>
      <rPr>
        <sz val="8"/>
        <color indexed="8"/>
        <rFont val="SegoeUI"/>
      </rPr>
      <t>Other insurance (S)</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</si>
  <si>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</si>
  <si>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</si>
  <si>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t>172</t>
  </si>
  <si>
    <t>12.6</t>
  </si>
  <si>
    <r>
      <rPr>
        <sz val="8"/>
        <color indexed="8"/>
        <rFont val="SegoeUI"/>
      </rPr>
      <t>NIEKUR KITUR NEPRISKIRTOS FINANSINĖS PASLAUGOS</t>
    </r>
  </si>
  <si>
    <r>
      <rPr>
        <sz val="8"/>
        <color indexed="8"/>
        <rFont val="SegoeUI"/>
      </rPr>
      <t>FINANCIAL SERVICES N.E.C.</t>
    </r>
  </si>
  <si>
    <t>173</t>
  </si>
  <si>
    <r>
      <rPr>
        <sz val="8"/>
        <color indexed="8"/>
        <rFont val="SegoeUI"/>
      </rPr>
      <t>Sąlyginai apskaičiuotos finansinio tarpininkavimo paslaugos (SPFTP) (S)</t>
    </r>
  </si>
  <si>
    <r>
      <rPr>
        <sz val="8"/>
        <color indexed="8"/>
        <rFont val="SegoeUI"/>
      </rPr>
      <t>FISIM (S)</t>
    </r>
  </si>
  <si>
    <r>
      <rPr>
        <sz val="8"/>
        <color indexed="8"/>
        <rFont val="SegoeUI"/>
      </rPr>
      <t>- Finansinio tarpininkavimo paslaugos, t.y. netiesiogiai apmokamos indėlių priėmimo ir paskolų teikimo paslaugos.</t>
    </r>
  </si>
  <si>
    <r>
      <rPr>
        <sz val="8"/>
        <color indexed="8"/>
        <rFont val="SegoeUI"/>
      </rPr>
      <t>- Financial intermediation services indirectly measured.</t>
    </r>
  </si>
  <si>
    <t>174</t>
  </si>
  <si>
    <r>
      <rPr>
        <sz val="8"/>
        <color indexed="8"/>
        <rFont val="SegoeUI"/>
      </rPr>
      <t>Kitos, niekur kitur nepriskirtos, finansinės paslaugos (S)</t>
    </r>
  </si>
  <si>
    <r>
      <rPr>
        <sz val="8"/>
        <color indexed="8"/>
        <rFont val="SegoeUI"/>
      </rPr>
      <t>Other financial services n.e.c. (S)</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</si>
  <si>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</si>
  <si>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</si>
  <si>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t>175</t>
  </si>
  <si>
    <t>12.7</t>
  </si>
  <si>
    <r>
      <rPr>
        <sz val="8"/>
        <color indexed="8"/>
        <rFont val="SegoeUI"/>
      </rPr>
      <t>NIEKUR KITUR NEPRISKIRTOS PASLAUGOS</t>
    </r>
  </si>
  <si>
    <r>
      <rPr>
        <sz val="8"/>
        <color indexed="8"/>
        <rFont val="SegoeUI"/>
      </rPr>
      <t>OTHER SERVICES N.E.C.</t>
    </r>
  </si>
  <si>
    <t>EUR_HE1270</t>
  </si>
  <si>
    <t>176</t>
  </si>
  <si>
    <t>12.7.0</t>
  </si>
  <si>
    <r>
      <rPr>
        <sz val="8"/>
        <color indexed="8"/>
        <rFont val="SegoeUI"/>
      </rPr>
      <t>Kitos, niekur kitur nepriskirtos, paslaugos (S)</t>
    </r>
  </si>
  <si>
    <r>
      <rPr>
        <sz val="8"/>
        <color indexed="8"/>
        <rFont val="SegoeUI"/>
      </rPr>
      <t>Other services n.e.c. (S)</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</si>
  <si>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</si>
  <si>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</si>
  <si>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t>EUR_HE13</t>
  </si>
  <si>
    <t>177</t>
  </si>
  <si>
    <t>13.</t>
  </si>
  <si>
    <r>
      <rPr>
        <sz val="8"/>
        <color indexed="8"/>
        <rFont val="SegoeUI"/>
      </rPr>
      <t>NE PELNO INSTITUCIJŲ INDIVIDUALAUS VARTOJIMO IŠLAIDOS</t>
    </r>
  </si>
  <si>
    <r>
      <rPr>
        <sz val="8"/>
        <color indexed="8"/>
        <rFont val="SegoeUI"/>
      </rPr>
      <t>INDIVIDUAL CONSUMPTION EXPENDITURE OF NON-PROFIT INSTITUTIONS SERVING HOUSEHOLDS (NPISHs)</t>
    </r>
  </si>
  <si>
    <t>EUR_HE131</t>
  </si>
  <si>
    <t>178</t>
  </si>
  <si>
    <t>13.1</t>
  </si>
  <si>
    <r>
      <rPr>
        <sz val="8"/>
        <color indexed="8"/>
        <rFont val="SegoeUI"/>
      </rPr>
      <t>BŪSTAS</t>
    </r>
  </si>
  <si>
    <r>
      <rPr>
        <sz val="8"/>
        <color indexed="8"/>
        <rFont val="SegoeUI"/>
      </rPr>
      <t>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</si>
  <si>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</si>
  <si>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</si>
  <si>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t>EUR_HE1310</t>
  </si>
  <si>
    <t>179</t>
  </si>
  <si>
    <t>13.1.0</t>
  </si>
  <si>
    <r>
      <rPr>
        <sz val="8"/>
        <color indexed="8"/>
        <rFont val="SegoeUI"/>
      </rPr>
      <t>Būstas (S)</t>
    </r>
  </si>
  <si>
    <r>
      <rPr>
        <sz val="8"/>
        <color indexed="8"/>
        <rFont val="SegoeUI"/>
      </rPr>
      <t>Housing (S)</t>
    </r>
  </si>
  <si>
    <r>
      <rPr>
        <sz val="8"/>
        <color indexed="8"/>
        <rFont val="SegoeUI"/>
      </rPr>
      <t>- Kaip nurodyta COPNI 01.0.0. Atitinka (04.1.1) ir (14.1.0).</t>
    </r>
  </si>
  <si>
    <r>
      <rPr>
        <sz val="8"/>
        <color indexed="8"/>
        <rFont val="SegoeUI"/>
      </rPr>
      <t>- As specified in COPNI 01.0.0. Corresponds to (04.1.1) and (14.1.0).</t>
    </r>
  </si>
  <si>
    <t>EUR_HE132</t>
  </si>
  <si>
    <t>180</t>
  </si>
  <si>
    <t>13.2</t>
  </si>
  <si>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</si>
  <si>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</si>
  <si>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t>EUR_HE1321</t>
  </si>
  <si>
    <t>181</t>
  </si>
  <si>
    <t>13.2.1</t>
  </si>
  <si>
    <r>
      <rPr>
        <sz val="8"/>
        <color indexed="8"/>
        <rFont val="SegoeUI"/>
      </rPr>
      <t>- Kaip nurodyta COPNI 02.1.1. Atitinka (06.1.1) ir (14.2.1).</t>
    </r>
  </si>
  <si>
    <r>
      <rPr>
        <sz val="8"/>
        <color indexed="8"/>
        <rFont val="SegoeUI"/>
      </rPr>
      <t>- As specified in COPNI 02.1.1. Corresponds to (06.1.1) and (14.2.1).</t>
    </r>
  </si>
  <si>
    <t>EUR_HE1322</t>
  </si>
  <si>
    <t>182</t>
  </si>
  <si>
    <t>13.2.2</t>
  </si>
  <si>
    <r>
      <rPr>
        <sz val="8"/>
        <color indexed="8"/>
        <rFont val="SegoeUI"/>
      </rPr>
      <t>- Kaip nurodyta COPNI 02.1.2. Atitinka (06.1.2) ir (14.2.2).</t>
    </r>
  </si>
  <si>
    <r>
      <rPr>
        <sz val="8"/>
        <color indexed="8"/>
        <rFont val="SegoeUI"/>
      </rPr>
      <t>- As specified in COPNI 02.1.2. Corresponds to (06.1.2) and (14.2.2).</t>
    </r>
  </si>
  <si>
    <t>EUR_HE1323</t>
  </si>
  <si>
    <t>183</t>
  </si>
  <si>
    <t>13.2.3</t>
  </si>
  <si>
    <r>
      <rPr>
        <sz val="8"/>
        <color indexed="8"/>
        <rFont val="SegoeUI"/>
      </rPr>
      <t>Terapijos aparatai ir įranga (D)</t>
    </r>
  </si>
  <si>
    <r>
      <rPr>
        <sz val="8"/>
        <color indexed="8"/>
        <rFont val="SegoeUI"/>
      </rPr>
      <t>- Kaip nurodyta COPNI 02.1.3. Atitinka (06.1.3) ir (14.2.3).</t>
    </r>
  </si>
  <si>
    <r>
      <rPr>
        <sz val="8"/>
        <color indexed="8"/>
        <rFont val="SegoeUI"/>
      </rPr>
      <t>- As specified in COPNI 02.1.3. Corresponds to (06.1.3) and (14.2.3).</t>
    </r>
  </si>
  <si>
    <t>EUR_HE1324</t>
  </si>
  <si>
    <t>184</t>
  </si>
  <si>
    <t>13.2.4</t>
  </si>
  <si>
    <r>
      <rPr>
        <sz val="8"/>
        <color indexed="8"/>
        <rFont val="SegoeUI"/>
      </rPr>
      <t>Medicinos paslaugos ambulatoriniams pacientams (S)</t>
    </r>
  </si>
  <si>
    <r>
      <rPr>
        <sz val="8"/>
        <color indexed="8"/>
        <rFont val="SegoeUI"/>
      </rPr>
      <t>Out-patient medical services (S)</t>
    </r>
  </si>
  <si>
    <r>
      <rPr>
        <sz val="8"/>
        <color indexed="8"/>
        <rFont val="SegoeUI"/>
      </rPr>
      <t>- Kaip nurodyta COPNI 02.2.1. Atitinka (06.2.1) ir (14.2.4).</t>
    </r>
  </si>
  <si>
    <r>
      <rPr>
        <sz val="8"/>
        <color indexed="8"/>
        <rFont val="SegoeUI"/>
      </rPr>
      <t>- As specified in COPNI 02.2.1. Corresponds to (06.2.1) and (14.2.4).</t>
    </r>
  </si>
  <si>
    <t>EUR_HE1325</t>
  </si>
  <si>
    <t>185</t>
  </si>
  <si>
    <t>13.2.5</t>
  </si>
  <si>
    <r>
      <rPr>
        <sz val="8"/>
        <color indexed="8"/>
        <rFont val="SegoeUI"/>
      </rPr>
      <t>Odontologijos paslaugos ambulatoriniams pacientams (S)</t>
    </r>
  </si>
  <si>
    <r>
      <rPr>
        <sz val="8"/>
        <color indexed="8"/>
        <rFont val="SegoeUI"/>
      </rPr>
      <t>Out-patient dental services (S)</t>
    </r>
  </si>
  <si>
    <r>
      <rPr>
        <sz val="8"/>
        <color indexed="8"/>
        <rFont val="SegoeUI"/>
      </rPr>
      <t>- Kaip nurodyta COPNI 02.2.2. Atitinka (06.2.2) ir (14.2.5).</t>
    </r>
  </si>
  <si>
    <r>
      <rPr>
        <sz val="8"/>
        <color indexed="8"/>
        <rFont val="SegoeUI"/>
      </rPr>
      <t>- As specified in COPNI 02.2.2. Corresponds to (06.2.2) and (14.2.5).</t>
    </r>
  </si>
  <si>
    <t>EUR_HE1326</t>
  </si>
  <si>
    <t>186</t>
  </si>
  <si>
    <t>13.2.6</t>
  </si>
  <si>
    <r>
      <rPr>
        <sz val="8"/>
        <color indexed="8"/>
        <rFont val="SegoeUI"/>
      </rPr>
      <t>Paramedicinos paslaugos ambulatoriniams pacientams (S)</t>
    </r>
  </si>
  <si>
    <r>
      <rPr>
        <sz val="8"/>
        <color indexed="8"/>
        <rFont val="SegoeUI"/>
      </rPr>
      <t>Out-patient paramedical services (S)</t>
    </r>
  </si>
  <si>
    <r>
      <rPr>
        <sz val="8"/>
        <color indexed="8"/>
        <rFont val="SegoeUI"/>
      </rPr>
      <t>- Kaip nurodyta COPNI 02.2.3. Atitinka (06.2.3) ir (14.2.6).</t>
    </r>
  </si>
  <si>
    <r>
      <rPr>
        <sz val="8"/>
        <color indexed="8"/>
        <rFont val="SegoeUI"/>
      </rPr>
      <t>- As specified in COPNI 02.2.3. Corresponds to (06.2.3) and (14.2.6).</t>
    </r>
  </si>
  <si>
    <t>EUR_HE1327</t>
  </si>
  <si>
    <t>187</t>
  </si>
  <si>
    <t>13.2.7</t>
  </si>
  <si>
    <r>
      <rPr>
        <sz val="8"/>
        <color indexed="8"/>
        <rFont val="SegoeUI"/>
      </rPr>
      <t>- Kaip nurodyta COPNI 02.3.0. Atitinka (06.3.0) ir (14.2.7).</t>
    </r>
  </si>
  <si>
    <r>
      <rPr>
        <sz val="8"/>
        <color indexed="8"/>
        <rFont val="SegoeUI"/>
      </rPr>
      <t>- As specified in COPNI 02.3.0. Corresponds to (06.3.0) and (14.2.7).</t>
    </r>
  </si>
  <si>
    <t>EUR_HE1328</t>
  </si>
  <si>
    <t>188</t>
  </si>
  <si>
    <t>13.2.8</t>
  </si>
  <si>
    <r>
      <rPr>
        <sz val="8"/>
        <color indexed="8"/>
        <rFont val="SegoeUI"/>
      </rPr>
      <t>Kitos sveikatos priežiūros paslaugos (S)</t>
    </r>
  </si>
  <si>
    <r>
      <rPr>
        <sz val="8"/>
        <color indexed="8"/>
        <rFont val="SegoeUI"/>
      </rPr>
      <t>Other health services (S)</t>
    </r>
  </si>
  <si>
    <r>
      <rPr>
        <sz val="8"/>
        <color indexed="8"/>
        <rFont val="SegoeUI"/>
      </rPr>
      <t>- Kaip nurodyta COPNI 02.4.0, 02.5.0 ir 02.6.0.</t>
    </r>
  </si>
  <si>
    <r>
      <rPr>
        <sz val="8"/>
        <color indexed="8"/>
        <rFont val="SegoeUI"/>
      </rPr>
      <t>- As specified in COPNI 02.4.0, 02.5.0 and 02.6.0.</t>
    </r>
  </si>
  <si>
    <t>EUR_HE133</t>
  </si>
  <si>
    <t>189</t>
  </si>
  <si>
    <t>13.3</t>
  </si>
  <si>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</si>
  <si>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</si>
  <si>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t>EUR_HE1331</t>
  </si>
  <si>
    <t>190</t>
  </si>
  <si>
    <t>13.3.1</t>
  </si>
  <si>
    <r>
      <rPr>
        <sz val="8"/>
        <color indexed="8"/>
        <rFont val="SegoeUI"/>
      </rPr>
      <t>- Kaip nurodyta COPNI 03.1.0. Atitinka (09.4.1) ir (14.3.1).</t>
    </r>
  </si>
  <si>
    <r>
      <rPr>
        <sz val="8"/>
        <color indexed="8"/>
        <rFont val="SegoeUI"/>
      </rPr>
      <t>- As specified in COPNI 03.1.0. Corresponds to (09.4.1) and (14.3.1).</t>
    </r>
  </si>
  <si>
    <t>EUR_HE1332</t>
  </si>
  <si>
    <t>191</t>
  </si>
  <si>
    <t>13.3.2</t>
  </si>
  <si>
    <r>
      <rPr>
        <sz val="8"/>
        <color indexed="8"/>
        <rFont val="SegoeUI"/>
      </rPr>
      <t>- Kaip nurodyta COPNI 03.2.0. Atitinka (09.4.2) ir (14.3.2).</t>
    </r>
  </si>
  <si>
    <r>
      <rPr>
        <sz val="8"/>
        <color indexed="8"/>
        <rFont val="SegoeUI"/>
      </rPr>
      <t>- As specified in COPNI 03.2.0. Corresponds to (09.4.2) and (14.3.2).</t>
    </r>
  </si>
  <si>
    <t>EUR_HE134</t>
  </si>
  <si>
    <t>192</t>
  </si>
  <si>
    <t>13.4</t>
  </si>
  <si>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</si>
  <si>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</si>
  <si>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t>EUR_HE1341</t>
  </si>
  <si>
    <t>193</t>
  </si>
  <si>
    <t>13.4.1</t>
  </si>
  <si>
    <r>
      <rPr>
        <sz val="8"/>
        <color indexed="8"/>
        <rFont val="SegoeUI"/>
      </rPr>
      <t>- Kaip nurodyta COPNI 04.1.0. Atitinka (10.1.0) ir (14.4.1).</t>
    </r>
  </si>
  <si>
    <r>
      <rPr>
        <sz val="8"/>
        <color indexed="8"/>
        <rFont val="SegoeUI"/>
      </rPr>
      <t>- As specified in COPNI 04.1.0. Corresponds to (10.1.0) and (14.4.1).</t>
    </r>
  </si>
  <si>
    <t>EUR_HE1342</t>
  </si>
  <si>
    <t>194</t>
  </si>
  <si>
    <t>13.4.2</t>
  </si>
  <si>
    <r>
      <rPr>
        <sz val="8"/>
        <color indexed="8"/>
        <rFont val="SegoeUI"/>
      </rPr>
      <t>- Kaip nurodyta COPNI 04.2.0. Atitinka (10.2.0) ir (14.4.2).</t>
    </r>
  </si>
  <si>
    <r>
      <rPr>
        <sz val="8"/>
        <color indexed="8"/>
        <rFont val="SegoeUI"/>
      </rPr>
      <t>- As specified in COPNI 04.2.0. Corresponds to (10.2.0) and (14.4.2).</t>
    </r>
  </si>
  <si>
    <t>EUR_HE1343</t>
  </si>
  <si>
    <t>195</t>
  </si>
  <si>
    <t>13.4.3</t>
  </si>
  <si>
    <r>
      <rPr>
        <sz val="8"/>
        <color indexed="8"/>
        <rFont val="SegoeUI"/>
      </rPr>
      <t>- Kaip nurodyta COPNI 04.3.0. Atitinka (10.3.0) ir (14.4.3).</t>
    </r>
  </si>
  <si>
    <r>
      <rPr>
        <sz val="8"/>
        <color indexed="8"/>
        <rFont val="SegoeUI"/>
      </rPr>
      <t>- As specified in COPNI 04.3.0. Corresponds to (10.3.0) and (14.4.3).</t>
    </r>
  </si>
  <si>
    <t>EUR_HE1344</t>
  </si>
  <si>
    <t>196</t>
  </si>
  <si>
    <t>13.4.4</t>
  </si>
  <si>
    <r>
      <rPr>
        <sz val="8"/>
        <color indexed="8"/>
        <rFont val="SegoeUI"/>
      </rPr>
      <t>Aukštasis mokslas (S)</t>
    </r>
  </si>
  <si>
    <r>
      <rPr>
        <sz val="8"/>
        <color indexed="8"/>
        <rFont val="SegoeUI"/>
      </rPr>
      <t>- Kaip nurodyta COPNI 04.4.0. Atitinka (10.4.0) ir (14.4.4).</t>
    </r>
  </si>
  <si>
    <r>
      <rPr>
        <sz val="8"/>
        <color indexed="8"/>
        <rFont val="SegoeUI"/>
      </rPr>
      <t>- As specified in COPNI 04.4.0. Corresponds to (10.4.0) and (14.4.4).</t>
    </r>
  </si>
  <si>
    <t>EUR_HE1345</t>
  </si>
  <si>
    <t>197</t>
  </si>
  <si>
    <t>13.4.5</t>
  </si>
  <si>
    <r>
      <rPr>
        <sz val="8"/>
        <color indexed="8"/>
        <rFont val="SegoeUI"/>
      </rPr>
      <t>- Kaip nurodyta COPNI 04.5.0. Atitinka (10.5.0) ir (14.4.5).</t>
    </r>
  </si>
  <si>
    <r>
      <rPr>
        <sz val="8"/>
        <color indexed="8"/>
        <rFont val="SegoeUI"/>
      </rPr>
      <t>- As specified in COPNI 04.5.0. Corresponds to (10.5.0) and (14.4.5).</t>
    </r>
  </si>
  <si>
    <t>EUR_HE1346</t>
  </si>
  <si>
    <t>198</t>
  </si>
  <si>
    <t>13.4.6</t>
  </si>
  <si>
    <r>
      <rPr>
        <sz val="8"/>
        <color indexed="8"/>
        <rFont val="SegoeUI"/>
      </rPr>
      <t>Kitos paslaugos švietimo sistemai (S)</t>
    </r>
  </si>
  <si>
    <r>
      <rPr>
        <sz val="8"/>
        <color indexed="8"/>
        <rFont val="SegoeUI"/>
      </rPr>
      <t>Other educational services (S)</t>
    </r>
  </si>
  <si>
    <r>
      <rPr>
        <sz val="8"/>
        <color indexed="8"/>
        <rFont val="SegoeUI"/>
      </rPr>
      <t>- Kaip nurodyta COPNI 04.6.0 ir 04.7.0.</t>
    </r>
  </si>
  <si>
    <r>
      <rPr>
        <sz val="8"/>
        <color indexed="8"/>
        <rFont val="SegoeUI"/>
      </rPr>
      <t>- As specified in COPNI 04.6.0 and 04.7.0.</t>
    </r>
  </si>
  <si>
    <t>EUR_HE135</t>
  </si>
  <si>
    <t>199</t>
  </si>
  <si>
    <t>13.5</t>
  </si>
  <si>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</si>
  <si>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</si>
  <si>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t>EUR_HE1350</t>
  </si>
  <si>
    <t>200</t>
  </si>
  <si>
    <t>13.5.0</t>
  </si>
  <si>
    <r>
      <rPr>
        <sz val="8"/>
        <color indexed="8"/>
        <rFont val="SegoeUI"/>
      </rPr>
      <t>Socialinės apsaugos paslaugos (S)</t>
    </r>
  </si>
  <si>
    <r>
      <rPr>
        <sz val="8"/>
        <color indexed="8"/>
        <rFont val="SegoeUI"/>
      </rPr>
      <t>- Kaip nurodyta COPNI 05.1.0 ir 05.2.0. Atitinka (12.4.0) ir (14.5.0).</t>
    </r>
  </si>
  <si>
    <r>
      <rPr>
        <sz val="8"/>
        <color indexed="8"/>
        <rFont val="SegoeUI"/>
      </rPr>
      <t>- As specified in COPNI 05.1.0 and 05.2.0. Corresponds to (12.4.0) and (14.5.0).</t>
    </r>
  </si>
  <si>
    <t>EUR_HE136</t>
  </si>
  <si>
    <t>201</t>
  </si>
  <si>
    <t>13.6</t>
  </si>
  <si>
    <r>
      <rPr>
        <sz val="8"/>
        <color indexed="8"/>
        <rFont val="SegoeUI"/>
      </rPr>
      <t>KITOS PASLAUGOS</t>
    </r>
  </si>
  <si>
    <r>
      <rPr>
        <sz val="8"/>
        <color indexed="8"/>
        <rFont val="SegoeUI"/>
      </rPr>
      <t>OTHER SERVICES</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</si>
  <si>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</si>
  <si>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</si>
  <si>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t>EUR_HE1361</t>
  </si>
  <si>
    <t>202</t>
  </si>
  <si>
    <t>13.6.1</t>
  </si>
  <si>
    <r>
      <rPr>
        <sz val="8"/>
        <color indexed="8"/>
        <rFont val="SegoeUI"/>
      </rPr>
      <t>Religijos paslaugos (S)</t>
    </r>
  </si>
  <si>
    <r>
      <rPr>
        <sz val="8"/>
        <color indexed="8"/>
        <rFont val="SegoeUI"/>
      </rPr>
      <t>Religion (S)</t>
    </r>
  </si>
  <si>
    <r>
      <rPr>
        <sz val="8"/>
        <color indexed="8"/>
        <rFont val="SegoeUI"/>
      </rPr>
      <t>- Kaip nurodyta COPNI 06.0.0.</t>
    </r>
  </si>
  <si>
    <r>
      <rPr>
        <sz val="8"/>
        <color indexed="8"/>
        <rFont val="SegoeUI"/>
      </rPr>
      <t>- As specified in COPNI 06.0.0.</t>
    </r>
  </si>
  <si>
    <t>EUR_HE1362</t>
  </si>
  <si>
    <t>203</t>
  </si>
  <si>
    <t>13.6.2</t>
  </si>
  <si>
    <r>
      <rPr>
        <sz val="8"/>
        <color indexed="8"/>
        <rFont val="SegoeUI"/>
      </rPr>
      <t>Politinių partijų, darbo ir profesinių organizacijų paslaugos (S)</t>
    </r>
  </si>
  <si>
    <r>
      <rPr>
        <sz val="8"/>
        <color indexed="8"/>
        <rFont val="SegoeUI"/>
      </rPr>
      <t>Political parties, labour and professional organisations (S)</t>
    </r>
  </si>
  <si>
    <r>
      <rPr>
        <sz val="8"/>
        <color indexed="8"/>
        <rFont val="SegoeUI"/>
      </rPr>
      <t>- Kaip nurodyta COPNI 07.1.0, 07.2.0 ir 07.3.0.</t>
    </r>
  </si>
  <si>
    <r>
      <rPr>
        <sz val="8"/>
        <color indexed="8"/>
        <rFont val="SegoeUI"/>
      </rPr>
      <t>- As specified in COPNI 07.1.0, 07.2.0 and 07.3.0</t>
    </r>
  </si>
  <si>
    <t>EUR_HE1363</t>
  </si>
  <si>
    <t>204</t>
  </si>
  <si>
    <t>13.6.3</t>
  </si>
  <si>
    <r>
      <rPr>
        <sz val="8"/>
        <color indexed="8"/>
        <rFont val="SegoeUI"/>
      </rPr>
      <t>Aplinkos apsaugos paslaugos (S)</t>
    </r>
  </si>
  <si>
    <r>
      <rPr>
        <sz val="8"/>
        <color indexed="8"/>
        <rFont val="SegoeUI"/>
      </rPr>
      <t>Environment protection (S)</t>
    </r>
  </si>
  <si>
    <r>
      <rPr>
        <sz val="8"/>
        <color indexed="8"/>
        <rFont val="SegoeUI"/>
      </rPr>
      <t>- Kaip nurodyta COPNI 08.1.0 ir 08.2.0.</t>
    </r>
  </si>
  <si>
    <r>
      <rPr>
        <sz val="8"/>
        <color indexed="8"/>
        <rFont val="SegoeUI"/>
      </rPr>
      <t>- As specified in COPNI 08.1.0 and 08.2.0.</t>
    </r>
  </si>
  <si>
    <t>EUR_HE1364</t>
  </si>
  <si>
    <t>205</t>
  </si>
  <si>
    <t>13.6.4</t>
  </si>
  <si>
    <r>
      <rPr>
        <sz val="8"/>
        <color indexed="8"/>
        <rFont val="SegoeUI"/>
      </rPr>
      <t>Kitos, niekur kitur nepriskirtos paslaugos (S)</t>
    </r>
  </si>
  <si>
    <r>
      <rPr>
        <sz val="8"/>
        <color indexed="8"/>
        <rFont val="SegoeUI"/>
      </rPr>
      <t>Services n.e.c. (S)</t>
    </r>
  </si>
  <si>
    <r>
      <rPr>
        <sz val="8"/>
        <color indexed="8"/>
        <rFont val="SegoeUI"/>
      </rPr>
      <t>- Kaip nurodyta COPNI 09.1.0 ir 09.2.0.</t>
    </r>
  </si>
  <si>
    <r>
      <rPr>
        <sz val="8"/>
        <color indexed="8"/>
        <rFont val="SegoeUI"/>
      </rPr>
      <t>- As specified in COPNI 09.1.0 and 09.2.0.</t>
    </r>
  </si>
  <si>
    <t>EUR_HE14</t>
  </si>
  <si>
    <t>206</t>
  </si>
  <si>
    <t>14.</t>
  </si>
  <si>
    <r>
      <rPr>
        <sz val="8"/>
        <color indexed="8"/>
        <rFont val="SegoeUI"/>
      </rPr>
      <t>VALSTYBĖS DENGIAMOS INDIVIDUALAUS VARTOJIMO IŠLAIDOS</t>
    </r>
  </si>
  <si>
    <r>
      <rPr>
        <sz val="8"/>
        <color indexed="8"/>
        <rFont val="SegoeUI"/>
      </rPr>
      <t>INDIVIDUAL CONSUMPTION EXPENDITURE OF GENERAL GOVERNMENT</t>
    </r>
  </si>
  <si>
    <t>EUR_HE141</t>
  </si>
  <si>
    <t>207</t>
  </si>
  <si>
    <t>14.1</t>
  </si>
  <si>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</si>
  <si>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</si>
  <si>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t>EUR_HE1410</t>
  </si>
  <si>
    <t>208</t>
  </si>
  <si>
    <t>14.1.0</t>
  </si>
  <si>
    <r>
      <rPr>
        <sz val="8"/>
        <color indexed="8"/>
        <rFont val="SegoeUI"/>
      </rPr>
      <t>- Kaip nurodyta COFOG 10.6.0. Atitinka (04.1.1) ir (13.1.0).</t>
    </r>
  </si>
  <si>
    <r>
      <rPr>
        <sz val="8"/>
        <color indexed="8"/>
        <rFont val="SegoeUI"/>
      </rPr>
      <t>- As specified in COFOG 10.6.0. Corresponds to (04.1.1) and (13.1.0).</t>
    </r>
  </si>
  <si>
    <t>EUR_HE142</t>
  </si>
  <si>
    <t>209</t>
  </si>
  <si>
    <t>14.2</t>
  </si>
  <si>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</si>
  <si>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</si>
  <si>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t>EUR_HE1421</t>
  </si>
  <si>
    <t>210</t>
  </si>
  <si>
    <t>14.2.1</t>
  </si>
  <si>
    <r>
      <rPr>
        <sz val="8"/>
        <color indexed="8"/>
        <rFont val="SegoeUI"/>
      </rPr>
      <t>- Kaip nurodyta COFOG 07.1.1. Atitinka (06.1.1) ir (13.2.1).</t>
    </r>
  </si>
  <si>
    <r>
      <rPr>
        <sz val="8"/>
        <color indexed="8"/>
        <rFont val="SegoeUI"/>
      </rPr>
      <t>- As specified in COFOG 07.1.1. Corresponds to (06.1.1) and (13.2.1).</t>
    </r>
  </si>
  <si>
    <t>EUR_HE1422</t>
  </si>
  <si>
    <t>211</t>
  </si>
  <si>
    <t>14.2.2</t>
  </si>
  <si>
    <r>
      <rPr>
        <sz val="8"/>
        <color indexed="8"/>
        <rFont val="SegoeUI"/>
      </rPr>
      <t>- Kaip nurodyta COFOG 07.1.2. Atitinka (06.1.2) ir (13.2.2).</t>
    </r>
  </si>
  <si>
    <r>
      <rPr>
        <sz val="8"/>
        <color indexed="8"/>
        <rFont val="SegoeUI"/>
      </rPr>
      <t>- As specified in COFOG 07.1.2. Corresponds to (06.1.2) and (13.2.2).</t>
    </r>
  </si>
  <si>
    <t>EUR_HE1423</t>
  </si>
  <si>
    <t>212</t>
  </si>
  <si>
    <t>14.2.3</t>
  </si>
  <si>
    <r>
      <rPr>
        <sz val="8"/>
        <color indexed="8"/>
        <rFont val="SegoeUI"/>
      </rPr>
      <t>- Kaip nurodyta COFOG 07.1.3. Atitinka (06.1.3) ir (13.2.3).</t>
    </r>
  </si>
  <si>
    <r>
      <rPr>
        <sz val="8"/>
        <color indexed="8"/>
        <rFont val="SegoeUI"/>
      </rPr>
      <t>- As specified in COFOG 07.1.3. Corresponds to (06.1.3) and (13.2.3).</t>
    </r>
  </si>
  <si>
    <t>EUR_HE1424</t>
  </si>
  <si>
    <t>213</t>
  </si>
  <si>
    <t>14.2.4</t>
  </si>
  <si>
    <r>
      <rPr>
        <sz val="8"/>
        <color indexed="8"/>
        <rFont val="SegoeUI"/>
      </rPr>
      <t>- Kaip nurodyta COFOG 07.2.1 ir 07.2.2. Atitinka (06.2.1) ir (13.2.4).</t>
    </r>
  </si>
  <si>
    <r>
      <rPr>
        <sz val="8"/>
        <color indexed="8"/>
        <rFont val="SegoeUI"/>
      </rPr>
      <t>- As specified in COFOG 07.2.1 and 07.2.2. Corresponds to (06.2.1) and (13.2.4).</t>
    </r>
  </si>
  <si>
    <t>EUR_HE1425</t>
  </si>
  <si>
    <t>214</t>
  </si>
  <si>
    <t>14.2.5</t>
  </si>
  <si>
    <r>
      <rPr>
        <sz val="8"/>
        <color indexed="8"/>
        <rFont val="SegoeUI"/>
      </rPr>
      <t>- Kaip nurodyta COFOG 07.2.3. Atitinka (06.2.2) ir (13.2.5).</t>
    </r>
  </si>
  <si>
    <r>
      <rPr>
        <sz val="8"/>
        <color indexed="8"/>
        <rFont val="SegoeUI"/>
      </rPr>
      <t>- As specified in COFOG 07.2.3. Corresponds to (06.2.2) and (13.2.5).</t>
    </r>
  </si>
  <si>
    <t>EUR_HE1426</t>
  </si>
  <si>
    <t>215</t>
  </si>
  <si>
    <t>14.2.6</t>
  </si>
  <si>
    <r>
      <rPr>
        <sz val="8"/>
        <color indexed="8"/>
        <rFont val="SegoeUI"/>
      </rPr>
      <t>- Kaip nurodyta COFOG 07.2.4. Atitinka (06.2.3) ir (13.2.6).</t>
    </r>
  </si>
  <si>
    <r>
      <rPr>
        <sz val="8"/>
        <color indexed="8"/>
        <rFont val="SegoeUI"/>
      </rPr>
      <t>- As specified in COFOG 07.2.4. Corresponds to (06.2.3) and (13.2.6).</t>
    </r>
  </si>
  <si>
    <t>EUR_HE1427</t>
  </si>
  <si>
    <t>216</t>
  </si>
  <si>
    <t>14.2.7</t>
  </si>
  <si>
    <r>
      <rPr>
        <sz val="8"/>
        <color indexed="8"/>
        <rFont val="SegoeUI"/>
      </rPr>
      <t>- Kaip nurodyta COFOG 07.3.1, 07.3.2, 07.3.3 ir 07.3.4. Atitinka (06.3.0) ir (13.2.6).</t>
    </r>
  </si>
  <si>
    <r>
      <rPr>
        <sz val="8"/>
        <color indexed="8"/>
        <rFont val="SegoeUI"/>
      </rPr>
      <t>- As specified in COFOG 07.3.1, 07.3.2, 07.3.3 and 07.3.4. Corresponds to (06.3.0) and (13.2.6).</t>
    </r>
  </si>
  <si>
    <t>EUR_HE1428</t>
  </si>
  <si>
    <t>217</t>
  </si>
  <si>
    <t>14.2.8</t>
  </si>
  <si>
    <r>
      <rPr>
        <sz val="8"/>
        <color indexed="8"/>
        <rFont val="SegoeUI"/>
      </rPr>
      <t>Visuomenės sveikatos priežiūros paslaugos (S)</t>
    </r>
  </si>
  <si>
    <r>
      <rPr>
        <sz val="8"/>
        <color indexed="8"/>
        <rFont val="SegoeUI"/>
      </rPr>
      <t>Public health services (S)</t>
    </r>
  </si>
  <si>
    <r>
      <rPr>
        <sz val="8"/>
        <color indexed="8"/>
        <rFont val="SegoeUI"/>
      </rPr>
      <t>- Kaip nurodyta COFOG 07.4.0.</t>
    </r>
  </si>
  <si>
    <r>
      <rPr>
        <sz val="8"/>
        <color indexed="8"/>
        <rFont val="SegoeUI"/>
      </rPr>
      <t>- As specified in COFOG 07.4.0.</t>
    </r>
  </si>
  <si>
    <t>EUR_HE143</t>
  </si>
  <si>
    <t>218</t>
  </si>
  <si>
    <t>14.3</t>
  </si>
  <si>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</si>
  <si>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</si>
  <si>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t>EUR_HE1431</t>
  </si>
  <si>
    <t>219</t>
  </si>
  <si>
    <t>14.3.1</t>
  </si>
  <si>
    <r>
      <rPr>
        <sz val="8"/>
        <color indexed="8"/>
        <rFont val="SegoeUI"/>
      </rPr>
      <t>- Kaip nurodyta COFOG 08.1.0. Atitinka (09.4.1) ir (13.3.1).</t>
    </r>
  </si>
  <si>
    <r>
      <rPr>
        <sz val="8"/>
        <color indexed="8"/>
        <rFont val="SegoeUI"/>
      </rPr>
      <t>- As specified in COFOG 08.1.0. Corresponds to (09.4.1) and (13.3.1).</t>
    </r>
  </si>
  <si>
    <t>EUR_HE1432</t>
  </si>
  <si>
    <t>220</t>
  </si>
  <si>
    <t>14.3.2</t>
  </si>
  <si>
    <r>
      <rPr>
        <sz val="8"/>
        <color indexed="8"/>
        <rFont val="SegoeUI"/>
      </rPr>
      <t>- Kaip nurodyta COFOG 08.2.0. Atitinka (09.4.2) ir (13.2.2).</t>
    </r>
  </si>
  <si>
    <r>
      <rPr>
        <sz val="8"/>
        <color indexed="8"/>
        <rFont val="SegoeUI"/>
      </rPr>
      <t>- As specified in COFOG 08.2.0. Corresponds to (09.4.2) and (13.3.2).</t>
    </r>
  </si>
  <si>
    <t>EUR_HE144</t>
  </si>
  <si>
    <t>221</t>
  </si>
  <si>
    <t>14.4</t>
  </si>
  <si>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</si>
  <si>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</si>
  <si>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t>EUR_HE1441</t>
  </si>
  <si>
    <t>222</t>
  </si>
  <si>
    <t>14.4.1</t>
  </si>
  <si>
    <r>
      <rPr>
        <sz val="8"/>
        <color indexed="8"/>
        <rFont val="SegoeUI"/>
      </rPr>
      <t>- Kaip nurodyta COFOG 09.1.1 ir 09.1.2 dalose. Atitinka (10.1.0) ir (13.4.1).</t>
    </r>
  </si>
  <si>
    <r>
      <rPr>
        <sz val="8"/>
        <color indexed="8"/>
        <rFont val="SegoeUI"/>
      </rPr>
      <t>- As specified in COFOG 09.1.1 and 09.1.2. Corresponds to (10.1.0) and (13.4.1).</t>
    </r>
  </si>
  <si>
    <t>EUR_HE1442</t>
  </si>
  <si>
    <t>223</t>
  </si>
  <si>
    <t>14.4.2</t>
  </si>
  <si>
    <r>
      <rPr>
        <sz val="8"/>
        <color indexed="8"/>
        <rFont val="SegoeUI"/>
      </rPr>
      <t>- Kaip nurodyta COFOG 09.2.1 ir 09.2.2 dalose. Atitinka (10.2.0) ir (13.4.2).</t>
    </r>
  </si>
  <si>
    <r>
      <rPr>
        <sz val="8"/>
        <color indexed="8"/>
        <rFont val="SegoeUI"/>
      </rPr>
      <t>- As specified in COFOG 09.2.1 and 09.2.2. Corresponds to (10.2.0) and (13.4.2).</t>
    </r>
  </si>
  <si>
    <t>EUR_HE1443</t>
  </si>
  <si>
    <t>224</t>
  </si>
  <si>
    <t>14.4.3</t>
  </si>
  <si>
    <r>
      <rPr>
        <sz val="8"/>
        <color indexed="8"/>
        <rFont val="SegoeUI"/>
      </rPr>
      <t>- Kaip nurodyta COFOG 09.3.0 daloje. Atitinka (10.3.0) ir (13.4.3).</t>
    </r>
  </si>
  <si>
    <r>
      <rPr>
        <sz val="8"/>
        <color indexed="8"/>
        <rFont val="SegoeUI"/>
      </rPr>
      <t>- As specified in COFOG 09.3.0. Corresponds to (10.3.0) and (13.4.3).</t>
    </r>
  </si>
  <si>
    <t>EUR_HE1444</t>
  </si>
  <si>
    <t>225</t>
  </si>
  <si>
    <t>14.4.4</t>
  </si>
  <si>
    <r>
      <rPr>
        <sz val="8"/>
        <color indexed="8"/>
        <rFont val="SegoeUI"/>
      </rPr>
      <t>- Kaip nurodyta COFOG 09.4.1 ir 09.4.2 dalose. Atitinka (10.4.0) ir (13.4.4).</t>
    </r>
  </si>
  <si>
    <r>
      <rPr>
        <sz val="8"/>
        <color indexed="8"/>
        <rFont val="SegoeUI"/>
      </rPr>
      <t>- As specified in COFOG 09.4.1 and 09.4.2. Corresponds to (10.4.0) and (13.4.4).</t>
    </r>
  </si>
  <si>
    <t>EUR_HE1445</t>
  </si>
  <si>
    <t>226</t>
  </si>
  <si>
    <t>14.4.5</t>
  </si>
  <si>
    <r>
      <rPr>
        <sz val="8"/>
        <color indexed="8"/>
        <rFont val="SegoeUI"/>
      </rPr>
      <t>- Kaip nurodyta COFOG 09.5.0 daloje. Atitinka (10.5.0) ir (13.4.5).</t>
    </r>
  </si>
  <si>
    <r>
      <rPr>
        <sz val="8"/>
        <color indexed="8"/>
        <rFont val="SegoeUI"/>
      </rPr>
      <t>- As specified in COFOG 09.5.0. Corresponds to (10.5.0) and (13.4.5).</t>
    </r>
  </si>
  <si>
    <t>EUR_HE1446</t>
  </si>
  <si>
    <t>227</t>
  </si>
  <si>
    <t>14.4.6</t>
  </si>
  <si>
    <r>
      <rPr>
        <sz val="8"/>
        <color indexed="8"/>
        <rFont val="SegoeUI"/>
      </rPr>
      <t>Papildomos paslaugos švietimo sistemai (S)</t>
    </r>
  </si>
  <si>
    <r>
      <rPr>
        <sz val="8"/>
        <color indexed="8"/>
        <rFont val="SegoeUI"/>
      </rPr>
      <t>Subsidiary services to education (S)</t>
    </r>
  </si>
  <si>
    <r>
      <rPr>
        <sz val="8"/>
        <color indexed="8"/>
        <rFont val="SegoeUI"/>
      </rPr>
      <t>- Kaip nurodyta COFOG 09.6.0 daloje.</t>
    </r>
  </si>
  <si>
    <r>
      <rPr>
        <sz val="8"/>
        <color indexed="8"/>
        <rFont val="SegoeUI"/>
      </rPr>
      <t>- As specified in COFOG 09.6.0.</t>
    </r>
  </si>
  <si>
    <t>EUR_HE145</t>
  </si>
  <si>
    <t>228</t>
  </si>
  <si>
    <t>14.5</t>
  </si>
  <si>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</si>
  <si>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</si>
  <si>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t>EUR_HE1450</t>
  </si>
  <si>
    <t>229</t>
  </si>
  <si>
    <t>14.5.0</t>
  </si>
  <si>
    <r>
      <rPr>
        <sz val="8"/>
        <color indexed="8"/>
        <rFont val="SegoeUI"/>
      </rPr>
      <t>Kaip nurodyta COFOG dalose nuo 10.1.1. iki 10.5.0 ir 10.7.0. Atitinka (12.4.0) ir (13.5.0).</t>
    </r>
  </si>
  <si>
    <r>
      <rPr>
        <sz val="8"/>
        <color indexed="8"/>
        <rFont val="SegoeUI"/>
      </rPr>
      <t>As specified in COFOG 10.1.1 to 10.5.0 and 10.7.0. Corresponds to (12.4.0) and (13.5.0).</t>
    </r>
  </si>
  <si>
    <t>Sector</t>
  </si>
  <si>
    <t>GTAP</t>
  </si>
  <si>
    <t>NEWAGE</t>
  </si>
  <si>
    <t>Paddy rice</t>
  </si>
  <si>
    <t>PDR</t>
  </si>
  <si>
    <t>Wheat</t>
  </si>
  <si>
    <t>WHT</t>
  </si>
  <si>
    <t>Cereal grains nec</t>
  </si>
  <si>
    <t>GRO</t>
  </si>
  <si>
    <t>Vegetables, fruit, nuts</t>
  </si>
  <si>
    <t>V_F</t>
  </si>
  <si>
    <t>Oil seeds</t>
  </si>
  <si>
    <t>OSD</t>
  </si>
  <si>
    <t>Sugar cane, sugar beet</t>
  </si>
  <si>
    <t>C_B</t>
  </si>
  <si>
    <t>Plant-based fibers</t>
  </si>
  <si>
    <t>PFB</t>
  </si>
  <si>
    <t>Crops nec</t>
  </si>
  <si>
    <t>OCR</t>
  </si>
  <si>
    <t>Bovine cattle, sheep and goats, horses</t>
  </si>
  <si>
    <t>CTL</t>
  </si>
  <si>
    <t>Animal products nec</t>
  </si>
  <si>
    <t>OAP</t>
  </si>
  <si>
    <t>Raw milk</t>
  </si>
  <si>
    <t>RMK</t>
  </si>
  <si>
    <t>Wool, silk-worm cocoons</t>
  </si>
  <si>
    <t>WOL</t>
  </si>
  <si>
    <t>Forestry</t>
  </si>
  <si>
    <t>FRS</t>
  </si>
  <si>
    <t>Fishing</t>
  </si>
  <si>
    <t>FSH</t>
  </si>
  <si>
    <t>CNS</t>
  </si>
  <si>
    <t>CRP</t>
  </si>
  <si>
    <t>COA</t>
  </si>
  <si>
    <t>Oil</t>
  </si>
  <si>
    <t>OIL</t>
  </si>
  <si>
    <t>Electricity</t>
  </si>
  <si>
    <t>ELY</t>
  </si>
  <si>
    <t>ELE</t>
  </si>
  <si>
    <t>Processed rice</t>
  </si>
  <si>
    <t>PCR</t>
  </si>
  <si>
    <t>FOR</t>
  </si>
  <si>
    <t>Bovine meat products</t>
  </si>
  <si>
    <t>CMT</t>
  </si>
  <si>
    <t>Meat products nec</t>
  </si>
  <si>
    <t>OMT</t>
  </si>
  <si>
    <t>Vegetable oils and fats</t>
  </si>
  <si>
    <t>VOL</t>
  </si>
  <si>
    <t>Dairy products</t>
  </si>
  <si>
    <t>MIL</t>
  </si>
  <si>
    <t>Sugar</t>
  </si>
  <si>
    <t>SGR</t>
  </si>
  <si>
    <t>Food products nec</t>
  </si>
  <si>
    <t>OFD</t>
  </si>
  <si>
    <t>Beverages and tobacco products</t>
  </si>
  <si>
    <t>B_T</t>
  </si>
  <si>
    <t>Gas</t>
  </si>
  <si>
    <t>GAS</t>
  </si>
  <si>
    <t>Gas manufacture, distribution</t>
  </si>
  <si>
    <t>GDT</t>
  </si>
  <si>
    <t>I_S</t>
  </si>
  <si>
    <t>Transport equipment nec</t>
  </si>
  <si>
    <t>OTN</t>
  </si>
  <si>
    <t>Electronic equipment</t>
  </si>
  <si>
    <t>Machinery and equipment nec</t>
  </si>
  <si>
    <t>OME</t>
  </si>
  <si>
    <t>MVH</t>
  </si>
  <si>
    <t>NFM</t>
  </si>
  <si>
    <t>NMM</t>
  </si>
  <si>
    <t>Petroleum, coal products</t>
  </si>
  <si>
    <t>P_C</t>
  </si>
  <si>
    <t>PPP</t>
  </si>
  <si>
    <t>Minerals nec</t>
  </si>
  <si>
    <t>OMN</t>
  </si>
  <si>
    <t>Textiles</t>
  </si>
  <si>
    <t>TEX</t>
  </si>
  <si>
    <t>Wearing apparel</t>
  </si>
  <si>
    <t>WAP</t>
  </si>
  <si>
    <t>Leather products</t>
  </si>
  <si>
    <t>LEA</t>
  </si>
  <si>
    <t>Wood products</t>
  </si>
  <si>
    <t>LUM</t>
  </si>
  <si>
    <t>Metal products</t>
  </si>
  <si>
    <t>FMP</t>
  </si>
  <si>
    <t>Manufactures nec</t>
  </si>
  <si>
    <t>OMF</t>
  </si>
  <si>
    <t>Water</t>
  </si>
  <si>
    <t>WTR</t>
  </si>
  <si>
    <t>Trade</t>
  </si>
  <si>
    <t>TRD</t>
  </si>
  <si>
    <t>CMN</t>
  </si>
  <si>
    <t>Financial services nec</t>
  </si>
  <si>
    <t>OFI</t>
  </si>
  <si>
    <t>ISR</t>
  </si>
  <si>
    <t>Business services nec</t>
  </si>
  <si>
    <t>OBS</t>
  </si>
  <si>
    <t>Recreational and other services</t>
  </si>
  <si>
    <t>ROS</t>
  </si>
  <si>
    <t>Public Administration, Defense, Education, Health</t>
  </si>
  <si>
    <t>OSG</t>
  </si>
  <si>
    <t>Dwellings</t>
  </si>
  <si>
    <t>DWE</t>
  </si>
  <si>
    <t>Transport nec</t>
  </si>
  <si>
    <t>OTP</t>
  </si>
  <si>
    <t>Water transport</t>
  </si>
  <si>
    <t>WTP</t>
  </si>
  <si>
    <t>Air transport</t>
  </si>
  <si>
    <t>ATP</t>
  </si>
  <si>
    <t>EU-Member</t>
  </si>
  <si>
    <t>Region</t>
  </si>
  <si>
    <t>Category</t>
  </si>
  <si>
    <t>Value</t>
  </si>
  <si>
    <t>IND</t>
  </si>
  <si>
    <t>USA</t>
  </si>
  <si>
    <t>FRA</t>
  </si>
  <si>
    <t>DEU</t>
  </si>
  <si>
    <t>ITA</t>
  </si>
  <si>
    <t>POL</t>
  </si>
  <si>
    <t>ESP</t>
  </si>
  <si>
    <t>RUS</t>
  </si>
  <si>
    <t>UKI</t>
  </si>
  <si>
    <t>BNL</t>
  </si>
  <si>
    <t>EUN</t>
  </si>
  <si>
    <t>EUS</t>
  </si>
  <si>
    <t>OEC</t>
  </si>
  <si>
    <t>BRZ</t>
  </si>
  <si>
    <t>CHI</t>
  </si>
  <si>
    <t>RSA</t>
  </si>
  <si>
    <t>OPA</t>
  </si>
  <si>
    <t>ROW</t>
  </si>
  <si>
    <t>Gov-Dom</t>
  </si>
  <si>
    <t>Gov-Imp</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</si>
</sst>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family val="2"/>
      <charset val="186"/>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FF0000"/>
      <name val="Calibri"/>
      <family val="2"/>
      <charset val="186"/>
      <scheme val="minor"/>
    </font>
  </fonts>
  <fills count="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s>
  <borders count="13">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5" fillId="0" borderId="0"/>
    <xf numFmtId="0" fontId="6" fillId="0" borderId="0"/>
    <xf numFmtId="0" fontId="11" fillId="8" borderId="3" applyNumberFormat="0" applyAlignment="0" applyProtection="0"/>
  </cellStyleXfs>
  <cellXfs count="51">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xf numFmtId="0" fontId="0" fillId="0" borderId="0" xfId="0" applyAlignment="1">
      <alignment vertical="center"/>
    </xf>
    <xf numFmtId="0" fontId="4" fillId="0" borderId="0" xfId="0" applyFont="1"/>
    <xf numFmtId="0" fontId="3" fillId="4" borderId="0" xfId="3"/>
    <xf numFmtId="0" fontId="5" fillId="5" borderId="0" xfId="4" applyFill="1"/>
    <xf numFmtId="0" fontId="5" fillId="5" borderId="0" xfId="4" applyFill="1" applyAlignment="1">
      <alignment horizontal="left"/>
    </xf>
    <xf numFmtId="2" fontId="6" fillId="5" borderId="0" xfId="5" applyNumberFormat="1" applyFill="1" applyAlignment="1">
      <alignment horizontal="center"/>
    </xf>
    <xf numFmtId="0" fontId="5" fillId="5" borderId="0" xfId="4" applyFill="1" applyAlignment="1">
      <alignment horizontal="center"/>
    </xf>
    <xf numFmtId="0" fontId="5" fillId="5" borderId="0" xfId="4" applyFill="1" applyBorder="1" applyAlignment="1">
      <alignment wrapText="1"/>
    </xf>
    <xf numFmtId="0" fontId="7" fillId="5" borderId="0" xfId="4" applyFont="1" applyFill="1" applyBorder="1" applyAlignment="1">
      <alignment horizontal="center" wrapText="1"/>
    </xf>
    <xf numFmtId="0" fontId="5" fillId="5" borderId="0" xfId="4" applyFill="1" applyAlignment="1">
      <alignment wrapText="1"/>
    </xf>
    <xf numFmtId="0" fontId="7" fillId="5" borderId="0" xfId="4" applyFont="1" applyFill="1" applyAlignment="1"/>
    <xf numFmtId="0" fontId="5" fillId="5" borderId="0" xfId="4" applyFont="1" applyFill="1"/>
    <xf numFmtId="0" fontId="7" fillId="5" borderId="0" xfId="4" applyFont="1" applyFill="1"/>
    <xf numFmtId="0" fontId="3" fillId="4" borderId="0" xfId="3" applyAlignment="1"/>
    <xf numFmtId="0" fontId="5" fillId="5" borderId="0" xfId="4" applyFont="1" applyFill="1" applyBorder="1" applyAlignment="1">
      <alignment horizontal="right"/>
    </xf>
    <xf numFmtId="0" fontId="1" fillId="2" borderId="0" xfId="1" applyAlignment="1"/>
    <xf numFmtId="11" fontId="1" fillId="2" borderId="0" xfId="1" applyNumberFormat="1" applyAlignment="1"/>
    <xf numFmtId="0" fontId="1" fillId="2" borderId="0" xfId="1"/>
    <xf numFmtId="0" fontId="6" fillId="0" borderId="0" xfId="5"/>
    <xf numFmtId="0" fontId="8" fillId="0" borderId="0" xfId="5" applyFont="1" applyBorder="1" applyAlignment="1" applyProtection="1">
      <alignment horizontal="left" vertical="top" wrapText="1"/>
    </xf>
    <xf numFmtId="0" fontId="9" fillId="0" borderId="1" xfId="5" applyFont="1" applyBorder="1" applyAlignment="1" applyProtection="1">
      <alignment horizontal="left" vertical="top" wrapText="1"/>
    </xf>
    <xf numFmtId="0" fontId="10" fillId="6" borderId="2" xfId="5" applyFont="1" applyFill="1" applyBorder="1" applyAlignment="1" applyProtection="1">
      <alignment horizontal="center" vertical="center" wrapText="1"/>
    </xf>
    <xf numFmtId="0" fontId="0" fillId="7" borderId="0" xfId="0" applyFill="1" applyAlignment="1"/>
    <xf numFmtId="0" fontId="0" fillId="7" borderId="0" xfId="0" applyFill="1"/>
    <xf numFmtId="0" fontId="7" fillId="0" borderId="0" xfId="0" applyFont="1"/>
    <xf numFmtId="0" fontId="0" fillId="0" borderId="4" xfId="0" applyBorder="1"/>
    <xf numFmtId="0" fontId="11" fillId="8" borderId="3" xfId="6"/>
    <xf numFmtId="0" fontId="12" fillId="8" borderId="3" xfId="6" applyFont="1"/>
    <xf numFmtId="0" fontId="5" fillId="0" borderId="0" xfId="4"/>
    <xf numFmtId="11" fontId="5" fillId="0" borderId="0" xfId="4" applyNumberFormat="1"/>
    <xf numFmtId="0" fontId="0" fillId="0" borderId="0" xfId="0" applyAlignment="1">
      <alignment horizontal="right"/>
    </xf>
    <xf numFmtId="0" fontId="2"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2" applyBorder="1"/>
    <xf numFmtId="0" fontId="0" fillId="0" borderId="12" xfId="0" applyBorder="1"/>
    <xf numFmtId="0" fontId="13" fillId="0" borderId="0" xfId="0" applyFont="1"/>
    <xf numFmtId="0" fontId="7" fillId="5" borderId="0" xfId="4" applyFont="1" applyFill="1" applyAlignment="1">
      <alignment horizontal="center" vertical="top" wrapText="1"/>
    </xf>
    <xf numFmtId="0" fontId="10" fillId="0" borderId="0" xfId="5" applyFont="1" applyBorder="1" applyAlignment="1" applyProtection="1">
      <alignment horizontal="left" vertical="top" wrapText="1"/>
    </xf>
    <xf numFmtId="0" fontId="9" fillId="0" borderId="0" xfId="5" applyFont="1" applyBorder="1" applyAlignment="1" applyProtection="1">
      <alignment horizontal="left" vertical="top" wrapText="1"/>
    </xf>
  </cellXfs>
  <cellStyles count="7">
    <cellStyle name="Bad" xfId="2" builtinId="27"/>
    <cellStyle name="Good" xfId="1" builtinId="26"/>
    <cellStyle name="Input" xfId="6" builtinId="20"/>
    <cellStyle name="Neutral" xfId="3" builtinId="28"/>
    <cellStyle name="Normal" xfId="0" builtinId="0"/>
    <cellStyle name="Normal 2" xfId="4"/>
    <cellStyle name="Normal 2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file>

<file path=xl/externalLinks/_rels/externalLink1.xml.rels><?xml version="1.0" encoding="UTF-8" standalone="yes"?>
<Relationships xmlns="http://schemas.openxmlformats.org/package/2006/relationships"><Relationship Id="rId1" Type="http://schemas.microsoft.com/office/2006/relationships/xlExternalLinkPath/xlPathMissing" Target="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ors"/>
      <sheetName val="Million USD"/>
      <sheetName val="BillionEUR"/>
      <sheetName val="BillionEURNEWAGE"/>
      <sheetName val="Regions"/>
      <sheetName val="Sheet1"/>
    </sheetNames>
    <sheetDataSet>
      <sheetData sheetId="0"/>
      <sheetData sheetId="1"/>
      <sheetData sheetId="2">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3"/>
      <sheetData sheetId="4">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W12"/>
  <sheetViews>
    <sheetView workbookViewId="0">
      <selection activeCell="D24" sqref="D24"/>
    </sheetView>
  </sheetViews>
  <sheetFormatPr defaultRowHeight="14.45"/>
  <sheetData>
    <row r="1" spans="1:387">
      <c r="A1" s="31"/>
      <c r="B1" s="31" t="s">
        <v>0</v>
      </c>
      <c r="C1" s="31" t="s">
        <v>1</v>
      </c>
      <c r="D1" s="31" t="s">
        <v>2</v>
      </c>
      <c r="E1" s="31" t="s">
        <v>3</v>
      </c>
      <c r="F1" s="31" t="s">
        <v>4</v>
      </c>
      <c r="G1" s="31" t="s">
        <v>5</v>
      </c>
      <c r="H1" s="31" t="s">
        <v>6</v>
      </c>
      <c r="I1" s="31" t="s">
        <v>7</v>
      </c>
      <c r="J1" s="31" t="s">
        <v>8</v>
      </c>
      <c r="K1" s="31" t="s">
        <v>9</v>
      </c>
      <c r="L1" s="31" t="s">
        <v>10</v>
      </c>
      <c r="M1" s="31" t="s">
        <v>11</v>
      </c>
      <c r="N1" s="31" t="s">
        <v>12</v>
      </c>
      <c r="O1" s="31" t="s">
        <v>13</v>
      </c>
      <c r="P1" s="31" t="s">
        <v>14</v>
      </c>
      <c r="Q1" s="31" t="s">
        <v>15</v>
      </c>
      <c r="R1" s="31" t="s">
        <v>16</v>
      </c>
      <c r="S1" s="31" t="s">
        <v>17</v>
      </c>
      <c r="T1" s="31" t="s">
        <v>18</v>
      </c>
      <c r="U1" s="31" t="s">
        <v>19</v>
      </c>
      <c r="V1" s="31" t="s">
        <v>20</v>
      </c>
      <c r="W1" s="31" t="s">
        <v>21</v>
      </c>
      <c r="X1" s="31" t="s">
        <v>22</v>
      </c>
      <c r="Y1" s="31" t="s">
        <v>23</v>
      </c>
      <c r="Z1" s="31" t="s">
        <v>24</v>
      </c>
      <c r="AA1" s="31" t="s">
        <v>25</v>
      </c>
      <c r="AB1" s="31" t="s">
        <v>26</v>
      </c>
      <c r="AC1" s="31" t="s">
        <v>27</v>
      </c>
      <c r="AD1" s="31" t="s">
        <v>28</v>
      </c>
      <c r="AE1" s="31" t="s">
        <v>29</v>
      </c>
      <c r="AF1" s="31" t="s">
        <v>30</v>
      </c>
      <c r="AG1" s="31" t="s">
        <v>31</v>
      </c>
      <c r="AH1" s="31" t="s">
        <v>32</v>
      </c>
      <c r="AI1" s="31" t="s">
        <v>33</v>
      </c>
      <c r="AJ1" s="31" t="s">
        <v>34</v>
      </c>
      <c r="AK1" s="31" t="s">
        <v>35</v>
      </c>
      <c r="AL1" s="31" t="s">
        <v>36</v>
      </c>
      <c r="AM1" s="31" t="s">
        <v>37</v>
      </c>
      <c r="AN1" s="31" t="s">
        <v>38</v>
      </c>
      <c r="AO1" s="31" t="s">
        <v>39</v>
      </c>
      <c r="AP1" s="31" t="s">
        <v>40</v>
      </c>
      <c r="AQ1" s="31" t="s">
        <v>41</v>
      </c>
      <c r="AR1" s="31" t="s">
        <v>42</v>
      </c>
      <c r="AS1" s="31" t="s">
        <v>43</v>
      </c>
      <c r="AT1" s="31" t="s">
        <v>44</v>
      </c>
      <c r="AU1" s="31" t="s">
        <v>45</v>
      </c>
      <c r="AV1" s="31" t="s">
        <v>46</v>
      </c>
      <c r="AW1" s="31" t="s">
        <v>47</v>
      </c>
      <c r="AX1" s="31" t="s">
        <v>48</v>
      </c>
      <c r="AY1" s="31" t="s">
        <v>49</v>
      </c>
      <c r="AZ1" s="31" t="s">
        <v>50</v>
      </c>
      <c r="BA1" s="31" t="s">
        <v>51</v>
      </c>
      <c r="BB1" s="31" t="s">
        <v>52</v>
      </c>
      <c r="BC1" s="31" t="s">
        <v>53</v>
      </c>
      <c r="BD1" s="31" t="s">
        <v>54</v>
      </c>
      <c r="BE1" s="31" t="s">
        <v>55</v>
      </c>
      <c r="BF1" s="31" t="s">
        <v>56</v>
      </c>
      <c r="BG1" s="31" t="s">
        <v>57</v>
      </c>
      <c r="BH1" s="31" t="s">
        <v>58</v>
      </c>
      <c r="BI1" s="31" t="s">
        <v>59</v>
      </c>
      <c r="BJ1" s="31" t="s">
        <v>60</v>
      </c>
      <c r="BK1" s="31" t="s">
        <v>61</v>
      </c>
      <c r="BL1" s="31" t="s">
        <v>62</v>
      </c>
      <c r="BM1" s="31" t="s">
        <v>63</v>
      </c>
      <c r="BN1" s="31" t="s">
        <v>64</v>
      </c>
      <c r="BO1" s="31" t="s">
        <v>65</v>
      </c>
      <c r="BP1" s="31" t="s">
        <v>66</v>
      </c>
      <c r="BQ1" s="31" t="s">
        <v>67</v>
      </c>
      <c r="BR1" s="31" t="s">
        <v>68</v>
      </c>
      <c r="BS1" s="31" t="s">
        <v>69</v>
      </c>
      <c r="BT1" s="31" t="s">
        <v>70</v>
      </c>
      <c r="BU1" s="31" t="s">
        <v>71</v>
      </c>
      <c r="BV1" s="31" t="s">
        <v>72</v>
      </c>
      <c r="BW1" s="31" t="s">
        <v>73</v>
      </c>
      <c r="BX1" s="31" t="s">
        <v>74</v>
      </c>
      <c r="BY1" s="31" t="s">
        <v>75</v>
      </c>
      <c r="BZ1" s="31" t="s">
        <v>76</v>
      </c>
      <c r="CA1" s="31" t="s">
        <v>77</v>
      </c>
      <c r="CB1" s="31" t="s">
        <v>78</v>
      </c>
      <c r="CC1" s="31" t="s">
        <v>79</v>
      </c>
      <c r="CD1" s="31" t="s">
        <v>80</v>
      </c>
      <c r="CE1" s="31" t="s">
        <v>81</v>
      </c>
      <c r="CF1" s="31" t="s">
        <v>82</v>
      </c>
      <c r="CG1" s="31" t="s">
        <v>83</v>
      </c>
      <c r="CH1" s="31" t="s">
        <v>84</v>
      </c>
      <c r="CI1" s="31" t="s">
        <v>85</v>
      </c>
      <c r="CJ1" s="31" t="s">
        <v>86</v>
      </c>
      <c r="CK1" s="31" t="s">
        <v>87</v>
      </c>
      <c r="CL1" s="31" t="s">
        <v>88</v>
      </c>
      <c r="CM1" s="31" t="s">
        <v>89</v>
      </c>
      <c r="CN1" s="31" t="s">
        <v>90</v>
      </c>
      <c r="CO1" s="31" t="s">
        <v>91</v>
      </c>
      <c r="CP1" s="31" t="s">
        <v>92</v>
      </c>
      <c r="CQ1" s="31" t="s">
        <v>93</v>
      </c>
      <c r="CR1" s="31" t="s">
        <v>94</v>
      </c>
      <c r="CS1" s="31" t="s">
        <v>95</v>
      </c>
      <c r="CT1" s="31" t="s">
        <v>96</v>
      </c>
      <c r="CU1" s="31" t="s">
        <v>97</v>
      </c>
      <c r="CV1" s="31" t="s">
        <v>98</v>
      </c>
      <c r="CW1" s="31" t="s">
        <v>99</v>
      </c>
      <c r="CX1" s="31" t="s">
        <v>100</v>
      </c>
      <c r="CY1" s="31" t="s">
        <v>101</v>
      </c>
      <c r="CZ1" s="31" t="s">
        <v>102</v>
      </c>
      <c r="DA1" s="31" t="s">
        <v>103</v>
      </c>
      <c r="DB1" s="31" t="s">
        <v>104</v>
      </c>
      <c r="DC1" s="31" t="s">
        <v>105</v>
      </c>
      <c r="DD1" s="31" t="s">
        <v>106</v>
      </c>
      <c r="DE1" s="31" t="s">
        <v>107</v>
      </c>
      <c r="DF1" s="31" t="s">
        <v>108</v>
      </c>
      <c r="DG1" s="31" t="s">
        <v>109</v>
      </c>
      <c r="DH1" s="31" t="s">
        <v>110</v>
      </c>
      <c r="DI1" s="31" t="s">
        <v>111</v>
      </c>
      <c r="DJ1" s="31" t="s">
        <v>112</v>
      </c>
      <c r="DK1" s="31" t="s">
        <v>113</v>
      </c>
      <c r="DL1" s="31" t="s">
        <v>114</v>
      </c>
      <c r="DM1" s="31" t="s">
        <v>115</v>
      </c>
      <c r="DN1" s="31" t="s">
        <v>116</v>
      </c>
      <c r="DO1" s="31" t="s">
        <v>117</v>
      </c>
      <c r="DP1" s="31" t="s">
        <v>118</v>
      </c>
      <c r="DQ1" s="31" t="s">
        <v>119</v>
      </c>
      <c r="DR1" s="31" t="s">
        <v>120</v>
      </c>
      <c r="DS1" s="31" t="s">
        <v>121</v>
      </c>
      <c r="DT1" s="31" t="s">
        <v>122</v>
      </c>
      <c r="DU1" s="31" t="s">
        <v>123</v>
      </c>
      <c r="DV1" s="31" t="s">
        <v>124</v>
      </c>
      <c r="DW1" s="31" t="s">
        <v>125</v>
      </c>
      <c r="DX1" s="31" t="s">
        <v>126</v>
      </c>
      <c r="DY1" s="31" t="s">
        <v>127</v>
      </c>
      <c r="DZ1" s="31" t="s">
        <v>128</v>
      </c>
      <c r="EA1" s="31" t="s">
        <v>129</v>
      </c>
      <c r="EB1" s="31" t="s">
        <v>130</v>
      </c>
      <c r="EC1" s="31" t="s">
        <v>131</v>
      </c>
      <c r="ED1" s="31" t="s">
        <v>132</v>
      </c>
      <c r="EE1" s="31" t="s">
        <v>133</v>
      </c>
      <c r="EF1" s="31" t="s">
        <v>134</v>
      </c>
      <c r="EG1" s="31" t="s">
        <v>135</v>
      </c>
      <c r="EH1" s="31" t="s">
        <v>136</v>
      </c>
      <c r="EI1" s="31" t="s">
        <v>137</v>
      </c>
      <c r="EJ1" s="31" t="s">
        <v>138</v>
      </c>
      <c r="EK1" s="31" t="s">
        <v>139</v>
      </c>
      <c r="EL1" s="31" t="s">
        <v>140</v>
      </c>
      <c r="EM1" s="31" t="s">
        <v>141</v>
      </c>
      <c r="EN1" s="31" t="s">
        <v>142</v>
      </c>
      <c r="EO1" s="31" t="s">
        <v>143</v>
      </c>
      <c r="EP1" s="31" t="s">
        <v>144</v>
      </c>
      <c r="EQ1" s="31" t="s">
        <v>145</v>
      </c>
      <c r="ER1" s="31" t="s">
        <v>146</v>
      </c>
      <c r="ES1" s="31" t="s">
        <v>147</v>
      </c>
      <c r="ET1" s="31" t="s">
        <v>148</v>
      </c>
      <c r="EU1" s="31" t="s">
        <v>149</v>
      </c>
      <c r="EV1" s="31" t="s">
        <v>150</v>
      </c>
      <c r="EW1" s="31" t="s">
        <v>151</v>
      </c>
      <c r="EX1" s="31" t="s">
        <v>152</v>
      </c>
      <c r="EY1" s="31" t="s">
        <v>153</v>
      </c>
      <c r="EZ1" s="31" t="s">
        <v>154</v>
      </c>
      <c r="FA1" s="31" t="s">
        <v>155</v>
      </c>
      <c r="FB1" s="31" t="s">
        <v>156</v>
      </c>
      <c r="FC1" s="31" t="s">
        <v>157</v>
      </c>
      <c r="FD1" s="31" t="s">
        <v>158</v>
      </c>
      <c r="FE1" s="31" t="s">
        <v>159</v>
      </c>
      <c r="FF1" s="31" t="s">
        <v>160</v>
      </c>
      <c r="FG1" s="31" t="s">
        <v>161</v>
      </c>
      <c r="FH1" s="31" t="s">
        <v>162</v>
      </c>
      <c r="FI1" s="31" t="s">
        <v>163</v>
      </c>
      <c r="FJ1" s="31" t="s">
        <v>164</v>
      </c>
      <c r="FK1" s="31" t="s">
        <v>165</v>
      </c>
      <c r="FL1" s="31" t="s">
        <v>166</v>
      </c>
      <c r="FM1" s="31" t="s">
        <v>167</v>
      </c>
      <c r="FN1" s="31" t="s">
        <v>168</v>
      </c>
      <c r="FO1" s="31" t="s">
        <v>169</v>
      </c>
      <c r="FP1" s="31" t="s">
        <v>170</v>
      </c>
      <c r="FQ1" s="31" t="s">
        <v>171</v>
      </c>
      <c r="FR1" s="31" t="s">
        <v>172</v>
      </c>
      <c r="FS1" s="31" t="s">
        <v>173</v>
      </c>
      <c r="FT1" s="31" t="s">
        <v>174</v>
      </c>
      <c r="FU1" s="31" t="s">
        <v>175</v>
      </c>
      <c r="FV1" s="31" t="s">
        <v>176</v>
      </c>
      <c r="FW1" s="31" t="s">
        <v>177</v>
      </c>
      <c r="FX1" s="31" t="s">
        <v>178</v>
      </c>
      <c r="FY1" s="31" t="s">
        <v>179</v>
      </c>
      <c r="FZ1" s="31" t="s">
        <v>180</v>
      </c>
      <c r="GA1" s="31" t="s">
        <v>181</v>
      </c>
      <c r="GB1" s="31" t="s">
        <v>182</v>
      </c>
      <c r="GC1" s="31" t="s">
        <v>183</v>
      </c>
      <c r="GD1" s="31" t="s">
        <v>184</v>
      </c>
      <c r="GE1" s="31" t="s">
        <v>185</v>
      </c>
      <c r="GF1" s="31" t="s">
        <v>186</v>
      </c>
      <c r="GG1" s="31" t="s">
        <v>187</v>
      </c>
      <c r="GH1" s="31" t="s">
        <v>188</v>
      </c>
      <c r="GI1" s="31" t="s">
        <v>189</v>
      </c>
      <c r="GJ1" s="31" t="s">
        <v>190</v>
      </c>
      <c r="GK1" s="31" t="s">
        <v>191</v>
      </c>
      <c r="GL1" s="31" t="s">
        <v>192</v>
      </c>
      <c r="GM1" s="31" t="s">
        <v>193</v>
      </c>
      <c r="GN1" s="31" t="s">
        <v>194</v>
      </c>
      <c r="GO1" s="31" t="s">
        <v>195</v>
      </c>
      <c r="GP1" s="31" t="s">
        <v>196</v>
      </c>
      <c r="GQ1" s="31" t="s">
        <v>197</v>
      </c>
      <c r="GR1" s="31" t="s">
        <v>198</v>
      </c>
      <c r="GS1" s="31" t="s">
        <v>199</v>
      </c>
      <c r="GT1" s="31" t="s">
        <v>200</v>
      </c>
      <c r="GU1" s="31" t="s">
        <v>201</v>
      </c>
      <c r="GV1" s="31" t="s">
        <v>202</v>
      </c>
      <c r="GW1" s="31" t="s">
        <v>203</v>
      </c>
      <c r="GX1" s="31" t="s">
        <v>204</v>
      </c>
      <c r="GY1" s="31" t="s">
        <v>205</v>
      </c>
      <c r="GZ1" s="31" t="s">
        <v>206</v>
      </c>
      <c r="HA1" s="31" t="s">
        <v>207</v>
      </c>
      <c r="HB1" s="31" t="s">
        <v>208</v>
      </c>
      <c r="HC1" s="31" t="s">
        <v>209</v>
      </c>
      <c r="HD1" s="31" t="s">
        <v>210</v>
      </c>
      <c r="HE1" s="31" t="s">
        <v>211</v>
      </c>
      <c r="HF1" s="31" t="s">
        <v>212</v>
      </c>
      <c r="HG1" s="31" t="s">
        <v>213</v>
      </c>
      <c r="HH1" s="31" t="s">
        <v>214</v>
      </c>
      <c r="HI1" s="31" t="s">
        <v>215</v>
      </c>
      <c r="HJ1" s="31" t="s">
        <v>216</v>
      </c>
      <c r="HK1" s="31" t="s">
        <v>217</v>
      </c>
      <c r="HL1" s="31" t="s">
        <v>218</v>
      </c>
      <c r="HM1" s="31" t="s">
        <v>219</v>
      </c>
      <c r="HN1" s="31" t="s">
        <v>220</v>
      </c>
      <c r="HO1" s="31" t="s">
        <v>221</v>
      </c>
      <c r="HP1" s="31" t="s">
        <v>222</v>
      </c>
      <c r="HQ1" s="31" t="s">
        <v>223</v>
      </c>
      <c r="HR1" s="31" t="s">
        <v>224</v>
      </c>
      <c r="HS1" s="31" t="s">
        <v>225</v>
      </c>
      <c r="HT1" s="31" t="s">
        <v>226</v>
      </c>
      <c r="HU1" s="31" t="s">
        <v>227</v>
      </c>
      <c r="HV1" s="31" t="s">
        <v>228</v>
      </c>
      <c r="HW1" s="31" t="s">
        <v>229</v>
      </c>
      <c r="HX1" s="31" t="s">
        <v>230</v>
      </c>
      <c r="HY1" s="31" t="s">
        <v>231</v>
      </c>
      <c r="HZ1" s="31" t="s">
        <v>232</v>
      </c>
      <c r="IA1" s="31" t="s">
        <v>233</v>
      </c>
      <c r="IB1" s="31" t="s">
        <v>234</v>
      </c>
      <c r="IC1" s="31" t="s">
        <v>235</v>
      </c>
      <c r="ID1" s="31" t="s">
        <v>236</v>
      </c>
      <c r="IE1" s="31" t="s">
        <v>237</v>
      </c>
      <c r="IF1" s="31" t="s">
        <v>238</v>
      </c>
      <c r="IG1" s="31" t="s">
        <v>239</v>
      </c>
      <c r="IH1" s="31" t="s">
        <v>240</v>
      </c>
      <c r="II1" s="31" t="s">
        <v>241</v>
      </c>
      <c r="IJ1" s="31" t="s">
        <v>242</v>
      </c>
      <c r="IK1" s="31" t="s">
        <v>243</v>
      </c>
      <c r="IL1" s="31" t="s">
        <v>244</v>
      </c>
      <c r="IM1" s="31" t="s">
        <v>245</v>
      </c>
      <c r="IN1" s="31" t="s">
        <v>246</v>
      </c>
      <c r="IO1" s="31" t="s">
        <v>247</v>
      </c>
      <c r="IP1" s="31" t="s">
        <v>248</v>
      </c>
      <c r="IQ1" s="31" t="s">
        <v>249</v>
      </c>
      <c r="IR1" s="31" t="s">
        <v>250</v>
      </c>
      <c r="IS1" s="31" t="s">
        <v>251</v>
      </c>
      <c r="IT1" s="31" t="s">
        <v>252</v>
      </c>
      <c r="IU1" s="31" t="s">
        <v>253</v>
      </c>
      <c r="IV1" s="31" t="s">
        <v>254</v>
      </c>
      <c r="IW1" s="31" t="s">
        <v>255</v>
      </c>
      <c r="IX1" s="31" t="s">
        <v>256</v>
      </c>
      <c r="IY1" s="31" t="s">
        <v>257</v>
      </c>
      <c r="IZ1" s="31" t="s">
        <v>258</v>
      </c>
      <c r="JA1" s="31" t="s">
        <v>259</v>
      </c>
      <c r="JB1" s="31" t="s">
        <v>260</v>
      </c>
      <c r="JC1" s="31" t="s">
        <v>261</v>
      </c>
      <c r="JD1" s="31" t="s">
        <v>262</v>
      </c>
      <c r="JE1" s="31" t="s">
        <v>263</v>
      </c>
      <c r="JF1" s="31" t="s">
        <v>264</v>
      </c>
      <c r="JG1" s="31" t="s">
        <v>265</v>
      </c>
      <c r="JH1" s="31" t="s">
        <v>266</v>
      </c>
      <c r="JI1" s="31" t="s">
        <v>267</v>
      </c>
      <c r="JJ1" s="31" t="s">
        <v>268</v>
      </c>
      <c r="JK1" s="31" t="s">
        <v>269</v>
      </c>
      <c r="JL1" s="31" t="s">
        <v>270</v>
      </c>
      <c r="JM1" s="31" t="s">
        <v>271</v>
      </c>
      <c r="JN1" s="31" t="s">
        <v>272</v>
      </c>
      <c r="JO1" s="31" t="s">
        <v>273</v>
      </c>
      <c r="JP1" s="31" t="s">
        <v>274</v>
      </c>
      <c r="JQ1" s="31" t="s">
        <v>275</v>
      </c>
      <c r="JR1" s="31" t="s">
        <v>276</v>
      </c>
      <c r="JS1" s="31" t="s">
        <v>277</v>
      </c>
      <c r="JT1" s="31" t="s">
        <v>278</v>
      </c>
      <c r="JU1" s="31" t="s">
        <v>279</v>
      </c>
      <c r="JV1" s="31" t="s">
        <v>280</v>
      </c>
      <c r="JW1" s="31" t="s">
        <v>281</v>
      </c>
      <c r="JX1" s="31" t="s">
        <v>282</v>
      </c>
      <c r="JY1" s="31" t="s">
        <v>283</v>
      </c>
      <c r="JZ1" s="31" t="s">
        <v>284</v>
      </c>
      <c r="KA1" s="31" t="s">
        <v>285</v>
      </c>
      <c r="KB1" s="31" t="s">
        <v>286</v>
      </c>
      <c r="KC1" s="31" t="s">
        <v>287</v>
      </c>
      <c r="KD1" s="31" t="s">
        <v>288</v>
      </c>
      <c r="KE1" s="31" t="s">
        <v>289</v>
      </c>
      <c r="KF1" s="31" t="s">
        <v>290</v>
      </c>
      <c r="KG1" s="31" t="s">
        <v>291</v>
      </c>
      <c r="KH1" s="31" t="s">
        <v>292</v>
      </c>
      <c r="KI1" s="31" t="s">
        <v>293</v>
      </c>
      <c r="KJ1" s="31" t="s">
        <v>294</v>
      </c>
      <c r="KK1" s="31" t="s">
        <v>295</v>
      </c>
      <c r="KL1" s="31" t="s">
        <v>296</v>
      </c>
      <c r="KM1" s="31" t="s">
        <v>297</v>
      </c>
      <c r="KN1" s="31" t="s">
        <v>298</v>
      </c>
      <c r="KO1" s="31" t="s">
        <v>299</v>
      </c>
      <c r="KP1" s="31" t="s">
        <v>300</v>
      </c>
      <c r="KQ1" s="31" t="s">
        <v>301</v>
      </c>
      <c r="KR1" s="31" t="s">
        <v>302</v>
      </c>
      <c r="KS1" s="31" t="s">
        <v>303</v>
      </c>
      <c r="KT1" s="31" t="s">
        <v>304</v>
      </c>
      <c r="KU1" s="31" t="s">
        <v>305</v>
      </c>
      <c r="KV1" s="31" t="s">
        <v>306</v>
      </c>
      <c r="KW1" s="31" t="s">
        <v>307</v>
      </c>
      <c r="KX1" s="31" t="s">
        <v>308</v>
      </c>
      <c r="KY1" s="31" t="s">
        <v>309</v>
      </c>
      <c r="KZ1" s="31" t="s">
        <v>310</v>
      </c>
      <c r="LA1" s="31" t="s">
        <v>311</v>
      </c>
      <c r="LB1" s="31" t="s">
        <v>312</v>
      </c>
      <c r="LC1" s="31" t="s">
        <v>313</v>
      </c>
      <c r="LD1" s="31" t="s">
        <v>314</v>
      </c>
      <c r="LE1" s="31" t="s">
        <v>315</v>
      </c>
      <c r="LF1" s="31" t="s">
        <v>316</v>
      </c>
      <c r="LG1" s="31" t="s">
        <v>317</v>
      </c>
      <c r="LH1" s="31" t="s">
        <v>318</v>
      </c>
      <c r="LI1" s="31" t="s">
        <v>319</v>
      </c>
      <c r="LJ1" s="31" t="s">
        <v>320</v>
      </c>
      <c r="LK1" s="31" t="s">
        <v>321</v>
      </c>
      <c r="LL1" s="31" t="s">
        <v>322</v>
      </c>
      <c r="LM1" s="31" t="s">
        <v>323</v>
      </c>
      <c r="LN1" s="31" t="s">
        <v>324</v>
      </c>
      <c r="LO1" s="31" t="s">
        <v>325</v>
      </c>
      <c r="LP1" s="31" t="s">
        <v>326</v>
      </c>
      <c r="LQ1" s="31" t="s">
        <v>327</v>
      </c>
      <c r="LR1" s="31" t="s">
        <v>328</v>
      </c>
      <c r="LS1" s="31" t="s">
        <v>329</v>
      </c>
      <c r="LT1" s="31" t="s">
        <v>330</v>
      </c>
      <c r="LU1" s="31" t="s">
        <v>331</v>
      </c>
      <c r="LV1" s="31" t="s">
        <v>332</v>
      </c>
      <c r="LW1" s="31" t="s">
        <v>333</v>
      </c>
      <c r="LX1" s="31" t="s">
        <v>334</v>
      </c>
      <c r="LY1" s="31" t="s">
        <v>335</v>
      </c>
      <c r="LZ1" s="31" t="s">
        <v>336</v>
      </c>
      <c r="MA1" s="31" t="s">
        <v>337</v>
      </c>
      <c r="MB1" s="31" t="s">
        <v>338</v>
      </c>
      <c r="MC1" s="31" t="s">
        <v>339</v>
      </c>
      <c r="MD1" s="31" t="s">
        <v>340</v>
      </c>
      <c r="ME1" s="31" t="s">
        <v>341</v>
      </c>
      <c r="MF1" s="31" t="s">
        <v>342</v>
      </c>
      <c r="MG1" s="31" t="s">
        <v>343</v>
      </c>
      <c r="MH1" s="31" t="s">
        <v>344</v>
      </c>
      <c r="MI1" s="31" t="s">
        <v>345</v>
      </c>
      <c r="MJ1" s="31" t="s">
        <v>346</v>
      </c>
      <c r="MK1" s="31" t="s">
        <v>347</v>
      </c>
      <c r="ML1" s="31" t="s">
        <v>348</v>
      </c>
      <c r="MM1" s="31" t="s">
        <v>349</v>
      </c>
      <c r="MN1" s="31" t="s">
        <v>350</v>
      </c>
      <c r="MO1" s="31" t="s">
        <v>351</v>
      </c>
      <c r="MP1" s="31" t="s">
        <v>352</v>
      </c>
      <c r="MQ1" s="31" t="s">
        <v>353</v>
      </c>
      <c r="MR1" s="31" t="s">
        <v>354</v>
      </c>
      <c r="MS1" s="31" t="s">
        <v>355</v>
      </c>
      <c r="MT1" s="31" t="s">
        <v>356</v>
      </c>
      <c r="MU1" s="31" t="s">
        <v>357</v>
      </c>
      <c r="MV1" s="31" t="s">
        <v>358</v>
      </c>
      <c r="MW1" s="31" t="s">
        <v>359</v>
      </c>
      <c r="MX1" s="31" t="s">
        <v>360</v>
      </c>
      <c r="MY1" s="31" t="s">
        <v>361</v>
      </c>
      <c r="MZ1" s="31" t="s">
        <v>362</v>
      </c>
      <c r="NA1" s="31" t="s">
        <v>363</v>
      </c>
      <c r="NB1" s="31" t="s">
        <v>364</v>
      </c>
      <c r="NC1" s="31" t="s">
        <v>365</v>
      </c>
      <c r="ND1" s="31" t="s">
        <v>366</v>
      </c>
      <c r="NE1" s="31" t="s">
        <v>367</v>
      </c>
      <c r="NF1" s="31" t="s">
        <v>368</v>
      </c>
      <c r="NG1" s="31" t="s">
        <v>369</v>
      </c>
      <c r="NH1" s="31" t="s">
        <v>370</v>
      </c>
      <c r="NI1" s="31" t="s">
        <v>371</v>
      </c>
      <c r="NJ1" s="31" t="s">
        <v>372</v>
      </c>
      <c r="NK1" s="31" t="s">
        <v>373</v>
      </c>
      <c r="NL1" s="31" t="s">
        <v>374</v>
      </c>
      <c r="NM1" s="31" t="s">
        <v>375</v>
      </c>
      <c r="NN1" s="31" t="s">
        <v>376</v>
      </c>
      <c r="NO1" s="31" t="s">
        <v>377</v>
      </c>
      <c r="NP1" s="31" t="s">
        <v>378</v>
      </c>
      <c r="NQ1" s="31" t="s">
        <v>379</v>
      </c>
      <c r="NR1" s="31" t="s">
        <v>380</v>
      </c>
      <c r="NS1" s="31" t="s">
        <v>381</v>
      </c>
      <c r="NT1" s="31" t="s">
        <v>382</v>
      </c>
      <c r="NU1" s="31" t="s">
        <v>383</v>
      </c>
      <c r="NV1" s="31" t="s">
        <v>384</v>
      </c>
      <c r="NW1" s="31" t="s">
        <v>385</v>
      </c>
    </row>
    <row r="2" spans="1:387">
      <c r="A2" s="31" t="s">
        <v>386</v>
      </c>
      <c r="B2" s="31"/>
      <c r="C2" s="31" t="s">
        <v>387</v>
      </c>
      <c r="D2" s="31">
        <v>2010</v>
      </c>
      <c r="E2" s="31"/>
      <c r="F2" s="31"/>
      <c r="G2" s="31"/>
      <c r="H2" s="31"/>
      <c r="I2" s="31"/>
      <c r="J2" s="31"/>
      <c r="K2" s="31"/>
      <c r="L2" s="31"/>
      <c r="M2" s="31"/>
      <c r="N2" s="31"/>
      <c r="O2" s="31"/>
      <c r="P2" s="31"/>
      <c r="Q2" s="31"/>
      <c r="R2" s="31"/>
      <c r="S2" s="31">
        <v>69.124970455060335</v>
      </c>
      <c r="T2" s="31">
        <v>11.064302974640009</v>
      </c>
      <c r="U2" s="31">
        <v>1.5334683714699999</v>
      </c>
      <c r="V2" s="31">
        <v>2.4181761937199981</v>
      </c>
      <c r="W2" s="31">
        <v>29.85225641208001</v>
      </c>
      <c r="X2" s="31">
        <v>2.0465819865800023</v>
      </c>
      <c r="Y2" s="31">
        <v>1.7833691781299996</v>
      </c>
      <c r="Z2" s="31">
        <v>5.8938798930700074</v>
      </c>
      <c r="AA2" s="31">
        <v>2.605367305559998</v>
      </c>
      <c r="AB2" s="31">
        <v>4.8016239927799944</v>
      </c>
      <c r="AC2" s="31">
        <v>0.39851344841999992</v>
      </c>
      <c r="AD2" s="31">
        <v>1.9019653044799962</v>
      </c>
      <c r="AE2" s="31">
        <v>9.9170180997099973</v>
      </c>
      <c r="AF2" s="31">
        <v>4.8254519638899831</v>
      </c>
      <c r="AG2" s="31">
        <v>1.1472875322800036</v>
      </c>
      <c r="AH2" s="31">
        <v>0.66706547850999975</v>
      </c>
      <c r="AI2" s="31">
        <v>0.86639961824999889</v>
      </c>
      <c r="AJ2" s="31">
        <v>0</v>
      </c>
      <c r="AK2" s="31">
        <v>1.8493791527699988</v>
      </c>
      <c r="AL2" s="31">
        <v>0.56879127359000026</v>
      </c>
      <c r="AM2" s="31">
        <v>14.480604599639985</v>
      </c>
      <c r="AN2" s="31">
        <v>7.7810150359799879</v>
      </c>
      <c r="AO2" s="31">
        <v>0.32801743701000002</v>
      </c>
      <c r="AP2" s="31">
        <v>0</v>
      </c>
      <c r="AQ2" s="31">
        <v>5.9269112196200018</v>
      </c>
      <c r="AR2" s="31">
        <v>0.56840501621999928</v>
      </c>
      <c r="AS2" s="31">
        <v>0.18138616538999999</v>
      </c>
      <c r="AT2" s="31">
        <v>0.44531301870999945</v>
      </c>
      <c r="AU2" s="31">
        <v>0.15940612955999978</v>
      </c>
      <c r="AV2" s="31">
        <v>0.26626751268000004</v>
      </c>
      <c r="AW2" s="31">
        <v>0.37416936493999964</v>
      </c>
      <c r="AX2" s="31">
        <v>1.1244482073199999</v>
      </c>
      <c r="AY2" s="31">
        <v>0.5954107120099984</v>
      </c>
      <c r="AZ2" s="31">
        <v>6.2126487630000025E-2</v>
      </c>
      <c r="BA2" s="31">
        <v>1.0088590555600003</v>
      </c>
      <c r="BB2" s="31">
        <v>4.2310888526299975</v>
      </c>
      <c r="BC2" s="31">
        <v>0.99290644515000059</v>
      </c>
      <c r="BD2" s="31">
        <v>0.21411819634000001</v>
      </c>
      <c r="BE2" s="31">
        <v>8.5817322570000076E-2</v>
      </c>
      <c r="BF2" s="31">
        <v>2.3054389179699992</v>
      </c>
      <c r="BG2" s="31">
        <v>0.6689253674900002</v>
      </c>
      <c r="BH2" s="31">
        <v>4.019876758000001E-2</v>
      </c>
      <c r="BI2" s="31">
        <v>1.022810353899998</v>
      </c>
      <c r="BJ2" s="31">
        <v>1.2697264460500002</v>
      </c>
      <c r="BK2" s="31">
        <v>1.1745081453399968</v>
      </c>
      <c r="BL2" s="31">
        <v>0.62547470533999971</v>
      </c>
      <c r="BM2" s="31">
        <v>0</v>
      </c>
      <c r="BN2" s="31">
        <v>0</v>
      </c>
      <c r="BO2" s="31">
        <v>0</v>
      </c>
      <c r="BP2" s="31">
        <v>0</v>
      </c>
      <c r="BQ2" s="31">
        <v>8.2600261320000062E-2</v>
      </c>
      <c r="BR2" s="31">
        <v>1.6122600010099972</v>
      </c>
      <c r="BS2" s="31">
        <v>0</v>
      </c>
      <c r="BT2" s="31">
        <v>0.28970539878999985</v>
      </c>
      <c r="BU2" s="31">
        <v>0</v>
      </c>
      <c r="BV2" s="31">
        <v>0</v>
      </c>
      <c r="BW2" s="31">
        <v>0</v>
      </c>
      <c r="BX2" s="31">
        <v>0</v>
      </c>
      <c r="BY2" s="31">
        <v>0</v>
      </c>
      <c r="BZ2" s="31">
        <v>0</v>
      </c>
      <c r="CA2" s="31">
        <v>0</v>
      </c>
      <c r="CB2" s="31">
        <v>0</v>
      </c>
      <c r="CC2" s="31">
        <v>1.6597115442100014</v>
      </c>
      <c r="CD2" s="31">
        <v>0</v>
      </c>
      <c r="CE2" s="31">
        <v>0</v>
      </c>
      <c r="CF2" s="31">
        <v>0</v>
      </c>
      <c r="CG2" s="31">
        <v>0.21960812819000006</v>
      </c>
      <c r="CH2" s="31">
        <v>6.5183610200000019E-2</v>
      </c>
      <c r="CI2" s="31">
        <v>2.5342115638400045</v>
      </c>
      <c r="CJ2" s="31">
        <v>0.14804740625999993</v>
      </c>
      <c r="CK2" s="31">
        <v>0.16034100293000039</v>
      </c>
      <c r="CL2" s="31">
        <v>0</v>
      </c>
      <c r="CM2" s="31">
        <v>0</v>
      </c>
      <c r="CN2" s="31">
        <v>0</v>
      </c>
      <c r="CO2" s="31">
        <v>0</v>
      </c>
      <c r="CP2" s="31">
        <v>0</v>
      </c>
      <c r="CQ2" s="31">
        <v>7.4526506810000004E-2</v>
      </c>
      <c r="CR2" s="31">
        <v>1.6320444144600013</v>
      </c>
      <c r="CS2" s="31">
        <v>7.2788373080000038E-2</v>
      </c>
      <c r="CT2" s="31">
        <v>7.0021351340000024E-2</v>
      </c>
      <c r="CU2" s="31">
        <v>0.53038714530000086</v>
      </c>
      <c r="CV2" s="31">
        <v>2.2177027870000001E-2</v>
      </c>
      <c r="CW2" s="31">
        <v>14.433884129869984</v>
      </c>
      <c r="CX2" s="31">
        <v>4.6720070009999996E-2</v>
      </c>
      <c r="CY2" s="31">
        <v>6.0254483896799895</v>
      </c>
      <c r="CZ2" s="31">
        <v>1.7555665843199999</v>
      </c>
      <c r="DA2" s="31">
        <v>0.18044662937</v>
      </c>
      <c r="DB2" s="31">
        <v>0.14757101331000008</v>
      </c>
      <c r="DC2" s="31">
        <v>0</v>
      </c>
      <c r="DD2" s="31">
        <v>0</v>
      </c>
      <c r="DE2" s="31">
        <v>0</v>
      </c>
      <c r="DF2" s="31">
        <v>0</v>
      </c>
      <c r="DG2" s="31">
        <v>2.6031207921200004</v>
      </c>
      <c r="DH2" s="31">
        <v>1.2968087305700018</v>
      </c>
      <c r="DI2" s="31">
        <v>1.0125046746099997</v>
      </c>
      <c r="DJ2" s="31">
        <v>0.15412141671999996</v>
      </c>
      <c r="DK2" s="31">
        <v>0.86034612720000048</v>
      </c>
      <c r="DL2" s="31">
        <v>0.48326868478999979</v>
      </c>
      <c r="DM2" s="31">
        <v>7.2493565359999998E-2</v>
      </c>
      <c r="DN2" s="31">
        <v>1.2641790740000006E-2</v>
      </c>
      <c r="DO2" s="31">
        <v>0.18138616538999999</v>
      </c>
      <c r="DP2" s="31">
        <v>0.29751120098999984</v>
      </c>
      <c r="DQ2" s="31">
        <v>0.12225332893000011</v>
      </c>
      <c r="DR2" s="31">
        <v>2.554921982E-2</v>
      </c>
      <c r="DS2" s="31">
        <v>6.9991023899999977E-3</v>
      </c>
      <c r="DT2" s="31">
        <v>0</v>
      </c>
      <c r="DU2" s="31">
        <v>0</v>
      </c>
      <c r="DV2" s="31">
        <v>0.27820016335000064</v>
      </c>
      <c r="DW2" s="31">
        <v>9.596814608999997E-2</v>
      </c>
      <c r="DX2" s="31">
        <v>0.58394277728999988</v>
      </c>
      <c r="DY2" s="31">
        <v>0.17880683848000001</v>
      </c>
      <c r="DZ2" s="31">
        <v>0.36170337961000043</v>
      </c>
      <c r="EA2" s="31">
        <v>0.29924769011999991</v>
      </c>
      <c r="EB2" s="31">
        <v>0.22839388551999992</v>
      </c>
      <c r="EC2" s="31">
        <v>6.7758360789999986E-2</v>
      </c>
      <c r="ED2" s="31">
        <v>0.79334871751999991</v>
      </c>
      <c r="EE2" s="31">
        <v>1.9276604159999995E-2</v>
      </c>
      <c r="EF2" s="31">
        <v>7.6869935359999989E-2</v>
      </c>
      <c r="EG2" s="31">
        <v>0</v>
      </c>
      <c r="EH2" s="31">
        <v>0.32751113094999956</v>
      </c>
      <c r="EI2" s="31">
        <v>2.0217248437100031</v>
      </c>
      <c r="EJ2" s="31">
        <v>0.59539489537000034</v>
      </c>
      <c r="EK2" s="31">
        <v>1.2864601872399988</v>
      </c>
      <c r="EL2" s="31">
        <v>0</v>
      </c>
      <c r="EM2" s="31">
        <v>0</v>
      </c>
      <c r="EN2" s="31">
        <v>0.11724809634999998</v>
      </c>
      <c r="EO2" s="31">
        <v>0</v>
      </c>
      <c r="EP2" s="31">
        <v>0</v>
      </c>
      <c r="EQ2" s="31">
        <v>0</v>
      </c>
      <c r="ER2" s="31">
        <v>0.21411819634000001</v>
      </c>
      <c r="ES2" s="31">
        <v>8.5817322570000076E-2</v>
      </c>
      <c r="ET2" s="31">
        <v>2.3054389179699992</v>
      </c>
      <c r="EU2" s="31">
        <v>0.24017587123000006</v>
      </c>
      <c r="EV2" s="31">
        <v>5.5499845050000024E-2</v>
      </c>
      <c r="EW2" s="31">
        <v>0.17683145559999985</v>
      </c>
      <c r="EX2" s="31">
        <v>0.15901910973999983</v>
      </c>
      <c r="EY2" s="31">
        <v>3.7398195910000001E-2</v>
      </c>
      <c r="EZ2" s="31">
        <v>2.7439070239999995E-2</v>
      </c>
      <c r="FA2" s="31">
        <v>0</v>
      </c>
      <c r="FB2" s="31">
        <v>1.2759554109999998E-2</v>
      </c>
      <c r="FC2" s="31">
        <v>0.1736083208999997</v>
      </c>
      <c r="FD2" s="31">
        <v>7.8143943430000015E-2</v>
      </c>
      <c r="FE2" s="31">
        <v>0.38009989791000021</v>
      </c>
      <c r="FF2" s="31">
        <v>0.3909629930200002</v>
      </c>
      <c r="FG2" s="31">
        <v>0</v>
      </c>
      <c r="FH2" s="31">
        <v>0.32471153395999985</v>
      </c>
      <c r="FI2" s="31">
        <v>0.68760132688000042</v>
      </c>
      <c r="FJ2" s="31">
        <v>0</v>
      </c>
      <c r="FK2" s="31">
        <v>0.29340300273000003</v>
      </c>
      <c r="FL2" s="31">
        <v>0.53999100955000034</v>
      </c>
      <c r="FM2" s="31">
        <v>0.34113182132000036</v>
      </c>
      <c r="FN2" s="31">
        <v>0</v>
      </c>
      <c r="FO2" s="31">
        <v>0</v>
      </c>
      <c r="FP2" s="31">
        <v>0</v>
      </c>
      <c r="FQ2" s="31">
        <v>0</v>
      </c>
      <c r="FR2" s="31">
        <v>0</v>
      </c>
      <c r="FS2" s="31">
        <v>8.2600261320000062E-2</v>
      </c>
      <c r="FT2" s="31">
        <v>1.4227176105799986</v>
      </c>
      <c r="FU2" s="31">
        <v>0</v>
      </c>
      <c r="FV2" s="31">
        <v>0.18954241049000026</v>
      </c>
      <c r="FW2" s="31">
        <v>0</v>
      </c>
      <c r="FX2" s="31">
        <v>0</v>
      </c>
      <c r="FY2" s="31">
        <v>0</v>
      </c>
      <c r="FZ2" s="31">
        <v>0</v>
      </c>
      <c r="GA2" s="31">
        <v>0</v>
      </c>
      <c r="GB2" s="31">
        <v>0.28970539878999985</v>
      </c>
      <c r="GC2" s="31">
        <v>0</v>
      </c>
      <c r="GD2" s="31">
        <v>0</v>
      </c>
      <c r="GE2" s="31">
        <v>0</v>
      </c>
      <c r="GF2" s="31">
        <v>0</v>
      </c>
      <c r="GG2" s="31">
        <v>0</v>
      </c>
      <c r="GH2" s="31">
        <v>0</v>
      </c>
      <c r="GI2" s="31">
        <v>0</v>
      </c>
      <c r="GJ2" s="31">
        <v>0</v>
      </c>
      <c r="GK2" s="31">
        <v>0</v>
      </c>
      <c r="GL2" s="31">
        <v>0</v>
      </c>
      <c r="GM2" s="31">
        <v>0</v>
      </c>
      <c r="GN2" s="31">
        <v>0</v>
      </c>
      <c r="GO2" s="31">
        <v>0</v>
      </c>
      <c r="GP2" s="31">
        <v>0</v>
      </c>
      <c r="GQ2" s="31">
        <v>0</v>
      </c>
      <c r="GR2" s="31">
        <v>0</v>
      </c>
      <c r="GS2" s="31">
        <v>0</v>
      </c>
      <c r="GT2" s="31">
        <v>0</v>
      </c>
      <c r="GU2" s="31">
        <v>0</v>
      </c>
      <c r="GV2" s="31">
        <v>0</v>
      </c>
      <c r="GW2" s="31">
        <v>0</v>
      </c>
      <c r="GX2" s="31">
        <v>0</v>
      </c>
      <c r="GY2" s="31">
        <v>0</v>
      </c>
      <c r="GZ2" s="31">
        <v>0</v>
      </c>
      <c r="HA2" s="31">
        <v>0</v>
      </c>
      <c r="HB2" s="31">
        <v>0</v>
      </c>
      <c r="HC2" s="31">
        <v>0</v>
      </c>
      <c r="HD2" s="31">
        <v>0</v>
      </c>
      <c r="HE2" s="31">
        <v>0</v>
      </c>
      <c r="HF2" s="31">
        <v>0</v>
      </c>
      <c r="HG2" s="31">
        <v>0</v>
      </c>
      <c r="HH2" s="31">
        <v>0</v>
      </c>
      <c r="HI2" s="31">
        <v>0</v>
      </c>
      <c r="HJ2" s="31">
        <v>0</v>
      </c>
      <c r="HK2" s="31">
        <v>0</v>
      </c>
      <c r="HL2" s="31">
        <v>0</v>
      </c>
      <c r="HM2" s="31">
        <v>0</v>
      </c>
      <c r="HN2" s="31">
        <v>0</v>
      </c>
      <c r="HO2" s="31">
        <v>0</v>
      </c>
      <c r="HP2" s="31">
        <v>0</v>
      </c>
      <c r="HQ2" s="31">
        <v>0</v>
      </c>
      <c r="HR2" s="31">
        <v>0</v>
      </c>
      <c r="HS2" s="31">
        <v>0</v>
      </c>
      <c r="HT2" s="31">
        <v>0</v>
      </c>
      <c r="HU2" s="31">
        <v>0</v>
      </c>
      <c r="HV2" s="31">
        <v>0</v>
      </c>
      <c r="HW2" s="31">
        <v>0</v>
      </c>
      <c r="HX2" s="31">
        <v>0</v>
      </c>
      <c r="HY2" s="31">
        <v>0</v>
      </c>
      <c r="HZ2" s="31">
        <v>0</v>
      </c>
      <c r="IA2" s="31">
        <v>0.62652517069000024</v>
      </c>
      <c r="IB2" s="31">
        <v>0</v>
      </c>
      <c r="IC2" s="31">
        <v>3.6383393730000012E-2</v>
      </c>
      <c r="ID2" s="31">
        <v>0</v>
      </c>
      <c r="IE2" s="31">
        <v>0.99679957813000253</v>
      </c>
      <c r="IF2" s="31">
        <v>0</v>
      </c>
      <c r="IG2" s="31">
        <v>0</v>
      </c>
      <c r="IH2" s="31">
        <v>0</v>
      </c>
      <c r="II2" s="31">
        <v>0</v>
      </c>
      <c r="IJ2" s="31">
        <v>0</v>
      </c>
      <c r="IK2" s="31">
        <v>0</v>
      </c>
      <c r="IL2" s="31">
        <v>0.12009601399999993</v>
      </c>
      <c r="IM2" s="31">
        <v>9.9512108599999996E-2</v>
      </c>
      <c r="IN2" s="31">
        <v>6.5183610200000019E-2</v>
      </c>
      <c r="IO2" s="31">
        <v>0</v>
      </c>
      <c r="IP2" s="31">
        <v>1.0627597430500018</v>
      </c>
      <c r="IQ2" s="31">
        <v>0.75547329405000019</v>
      </c>
      <c r="IR2" s="31">
        <v>0.71597211618999845</v>
      </c>
      <c r="IS2" s="31">
        <v>0.14804740625999993</v>
      </c>
      <c r="IT2" s="31">
        <v>0.16034100293000039</v>
      </c>
      <c r="IU2" s="31">
        <v>0</v>
      </c>
      <c r="IV2" s="31">
        <v>0</v>
      </c>
      <c r="IW2" s="31">
        <v>0</v>
      </c>
      <c r="IX2" s="31">
        <v>0</v>
      </c>
      <c r="IY2" s="31">
        <v>0</v>
      </c>
      <c r="IZ2" s="31">
        <v>0</v>
      </c>
      <c r="JA2" s="31">
        <v>0</v>
      </c>
      <c r="JB2" s="31">
        <v>7.4526506810000004E-2</v>
      </c>
      <c r="JC2" s="31">
        <v>0.41323366065000039</v>
      </c>
      <c r="JD2" s="31">
        <v>0.95035432225999983</v>
      </c>
      <c r="JE2" s="31">
        <v>0.17167558853000034</v>
      </c>
      <c r="JF2" s="31">
        <v>7.2788373080000038E-2</v>
      </c>
      <c r="JG2" s="31">
        <v>7.0021351340000024E-2</v>
      </c>
      <c r="JH2" s="31">
        <v>0.17000070446999985</v>
      </c>
      <c r="JI2" s="31">
        <v>0.28797149096000013</v>
      </c>
      <c r="JJ2" s="31">
        <v>7.2410587459999939E-2</v>
      </c>
      <c r="JK2" s="31">
        <v>2.2177027870000001E-2</v>
      </c>
      <c r="JL2" s="31">
        <v>14.433884129869984</v>
      </c>
      <c r="JM2" s="31">
        <v>4.6720070009999996E-2</v>
      </c>
      <c r="JN2" s="31">
        <v>6.0254483896799895</v>
      </c>
      <c r="JO2" s="31">
        <v>1.6474109958299996</v>
      </c>
      <c r="JP2" s="31">
        <v>0.10815533754999998</v>
      </c>
      <c r="JQ2" s="31">
        <v>0.18044662937</v>
      </c>
      <c r="JR2" s="31">
        <v>0.14757101331000008</v>
      </c>
      <c r="JS2" s="31">
        <v>0</v>
      </c>
      <c r="JT2" s="31">
        <v>0</v>
      </c>
      <c r="JU2" s="31">
        <v>0</v>
      </c>
      <c r="JV2" s="31">
        <v>0</v>
      </c>
      <c r="JW2" s="31">
        <v>2.6031207921200004</v>
      </c>
      <c r="JX2" s="31">
        <v>0</v>
      </c>
      <c r="JY2" s="31">
        <v>0</v>
      </c>
      <c r="JZ2" s="31">
        <v>1.0125046746099997</v>
      </c>
      <c r="KA2" s="31">
        <v>0.15412141671999996</v>
      </c>
      <c r="KB2" s="31">
        <v>0.86034612720000048</v>
      </c>
      <c r="KC2" s="31">
        <v>0.48326868478999979</v>
      </c>
      <c r="KD2" s="31">
        <v>7.2493565359999998E-2</v>
      </c>
      <c r="KE2" s="31">
        <v>1.2641790740000006E-2</v>
      </c>
      <c r="KF2" s="31">
        <v>0.18138616538999999</v>
      </c>
      <c r="KG2" s="31">
        <v>8.5211694439999972E-2</v>
      </c>
      <c r="KH2" s="31">
        <v>0.11981121084999999</v>
      </c>
      <c r="KI2" s="31">
        <v>0</v>
      </c>
      <c r="KJ2" s="31">
        <v>0</v>
      </c>
      <c r="KK2" s="31">
        <v>0</v>
      </c>
      <c r="KL2" s="31">
        <v>0</v>
      </c>
      <c r="KM2" s="31">
        <v>7.398877031999998E-2</v>
      </c>
      <c r="KN2" s="31">
        <v>0.12225332893000011</v>
      </c>
      <c r="KO2" s="31">
        <v>2.554921982E-2</v>
      </c>
      <c r="KP2" s="31">
        <v>0</v>
      </c>
      <c r="KQ2" s="31">
        <v>0</v>
      </c>
      <c r="KR2" s="31">
        <v>0</v>
      </c>
      <c r="KS2" s="31">
        <v>6.9991023899999977E-3</v>
      </c>
      <c r="KT2" s="31">
        <v>0</v>
      </c>
      <c r="KU2" s="31">
        <v>0</v>
      </c>
      <c r="KV2" s="31">
        <v>0</v>
      </c>
      <c r="KW2" s="31">
        <v>0</v>
      </c>
      <c r="KX2" s="31">
        <v>0</v>
      </c>
      <c r="KY2" s="31">
        <v>0</v>
      </c>
      <c r="KZ2" s="31">
        <v>0.58394277728999988</v>
      </c>
      <c r="LA2" s="31">
        <v>0.17880683848000001</v>
      </c>
      <c r="LB2" s="31">
        <v>0.36170337961000043</v>
      </c>
      <c r="LC2" s="31">
        <v>0.29924769011999991</v>
      </c>
      <c r="LD2" s="31">
        <v>0.22839388551999992</v>
      </c>
      <c r="LE2" s="31">
        <v>0</v>
      </c>
      <c r="LF2" s="31">
        <v>0</v>
      </c>
      <c r="LG2" s="31">
        <v>6.7758360789999986E-2</v>
      </c>
      <c r="LH2" s="31">
        <v>0.29041186252000001</v>
      </c>
      <c r="LI2" s="31">
        <v>0.50293685500000007</v>
      </c>
      <c r="LJ2" s="31">
        <v>1.9276604159999995E-2</v>
      </c>
      <c r="LK2" s="31">
        <v>7.6869935359999989E-2</v>
      </c>
      <c r="LL2" s="31">
        <v>0</v>
      </c>
      <c r="LM2" s="31">
        <v>0.32751113094999956</v>
      </c>
      <c r="LN2" s="31">
        <v>2.0217248437100031</v>
      </c>
      <c r="LO2" s="31">
        <v>0.59539489537000034</v>
      </c>
      <c r="LP2" s="31">
        <v>1.2864601872399988</v>
      </c>
      <c r="LQ2" s="31">
        <v>0</v>
      </c>
      <c r="LR2" s="31">
        <v>0</v>
      </c>
      <c r="LS2" s="31">
        <v>0.11724809634999998</v>
      </c>
      <c r="LT2" s="31">
        <v>0</v>
      </c>
      <c r="LU2" s="31">
        <v>0</v>
      </c>
      <c r="LV2" s="31">
        <v>0</v>
      </c>
      <c r="LW2" s="31">
        <v>0</v>
      </c>
      <c r="LX2" s="31">
        <v>8.5817322570000076E-2</v>
      </c>
      <c r="LY2" s="31">
        <v>2.3054389179699992</v>
      </c>
      <c r="LZ2" s="31">
        <v>6.5415224479999964E-2</v>
      </c>
      <c r="MA2" s="31">
        <v>0.17476039895000003</v>
      </c>
      <c r="MB2" s="31">
        <v>5.5499845050000024E-2</v>
      </c>
      <c r="MC2" s="31">
        <v>0</v>
      </c>
      <c r="MD2" s="31">
        <v>0.17683145559999985</v>
      </c>
      <c r="ME2" s="31">
        <v>0.15901910973999983</v>
      </c>
      <c r="MF2" s="31">
        <v>3.7398195910000001E-2</v>
      </c>
      <c r="MG2" s="31">
        <v>2.7439070239999995E-2</v>
      </c>
      <c r="MH2" s="31">
        <v>0</v>
      </c>
      <c r="MI2" s="31">
        <v>0</v>
      </c>
      <c r="MJ2" s="31">
        <v>1.2759554109999998E-2</v>
      </c>
      <c r="MK2" s="31">
        <v>0.1736083208999997</v>
      </c>
      <c r="ML2" s="31">
        <v>7.8143943430000015E-2</v>
      </c>
      <c r="MM2" s="31">
        <v>0.38009989791000021</v>
      </c>
      <c r="MN2" s="31">
        <v>0.3909629930200002</v>
      </c>
      <c r="MO2" s="31">
        <v>0</v>
      </c>
      <c r="MP2" s="31">
        <v>0.32471153395999985</v>
      </c>
      <c r="MQ2" s="31">
        <v>0</v>
      </c>
      <c r="MR2" s="31">
        <v>0</v>
      </c>
      <c r="MS2" s="31">
        <v>0.58417624942000035</v>
      </c>
      <c r="MT2" s="31">
        <v>0.10343157486000013</v>
      </c>
      <c r="MU2" s="31">
        <v>0</v>
      </c>
      <c r="MV2" s="31">
        <v>0.29340300273000003</v>
      </c>
      <c r="MW2" s="31">
        <v>0.53999100955000034</v>
      </c>
      <c r="MX2" s="31">
        <v>0.34113182132000036</v>
      </c>
      <c r="MY2" s="31">
        <v>0</v>
      </c>
      <c r="MZ2" s="31">
        <v>0</v>
      </c>
      <c r="NA2" s="31">
        <v>0</v>
      </c>
      <c r="NB2" s="31">
        <v>0</v>
      </c>
      <c r="NC2" s="31">
        <v>0</v>
      </c>
      <c r="ND2" s="31">
        <v>8.2600261320000062E-2</v>
      </c>
      <c r="NE2" s="31">
        <v>0</v>
      </c>
      <c r="NF2" s="31">
        <v>0</v>
      </c>
      <c r="NG2" s="31">
        <v>0.18954241049000026</v>
      </c>
      <c r="NH2" s="31">
        <v>0.28970539878999985</v>
      </c>
      <c r="NI2" s="31">
        <v>0.62652517069000024</v>
      </c>
      <c r="NJ2" s="31">
        <v>3.6383393730000012E-2</v>
      </c>
      <c r="NK2" s="31">
        <v>0.99679957813000253</v>
      </c>
      <c r="NL2" s="31">
        <v>0</v>
      </c>
      <c r="NM2" s="31">
        <v>0.12009601399999993</v>
      </c>
      <c r="NN2" s="31">
        <v>0</v>
      </c>
      <c r="NO2" s="31">
        <v>0</v>
      </c>
      <c r="NP2" s="31">
        <v>3.1440365179999999E-2</v>
      </c>
      <c r="NQ2" s="31">
        <v>3.3743245019999993E-2</v>
      </c>
      <c r="NR2" s="31">
        <v>0</v>
      </c>
      <c r="NS2" s="31">
        <v>1.0627597430500018</v>
      </c>
      <c r="NT2" s="31">
        <v>0.75547329405000019</v>
      </c>
      <c r="NU2" s="31">
        <v>0.71597211618999845</v>
      </c>
      <c r="NV2" s="31">
        <v>0.14804740625999993</v>
      </c>
      <c r="NW2" s="31">
        <v>0.13672817347999999</v>
      </c>
    </row>
    <row r="3" spans="1:387">
      <c r="A3" s="31" t="s">
        <v>388</v>
      </c>
      <c r="B3" s="31"/>
      <c r="C3" s="31"/>
      <c r="D3" s="31"/>
      <c r="E3" s="31"/>
      <c r="F3" s="31"/>
      <c r="G3" s="31"/>
      <c r="H3" s="31"/>
      <c r="I3" s="31"/>
      <c r="J3" s="31"/>
      <c r="K3" s="31"/>
      <c r="L3" s="31"/>
      <c r="M3" s="31"/>
      <c r="N3" s="31"/>
      <c r="O3" s="31"/>
      <c r="P3" s="31"/>
      <c r="Q3" s="31"/>
      <c r="R3" s="31"/>
      <c r="S3" s="31">
        <v>73.959554097019918</v>
      </c>
      <c r="T3" s="31">
        <v>11.463062013509989</v>
      </c>
      <c r="U3" s="31">
        <v>1.4945381204300028</v>
      </c>
      <c r="V3" s="31">
        <v>2.8741140809700063</v>
      </c>
      <c r="W3" s="31">
        <v>28.811172306390073</v>
      </c>
      <c r="X3" s="31">
        <v>2.7631082819799966</v>
      </c>
      <c r="Y3" s="31">
        <v>2.0399891049799974</v>
      </c>
      <c r="Z3" s="31">
        <v>7.2038402286899892</v>
      </c>
      <c r="AA3" s="31">
        <v>2.6730009284200107</v>
      </c>
      <c r="AB3" s="31">
        <v>6.3199713939800146</v>
      </c>
      <c r="AC3" s="31">
        <v>0.60418425039000068</v>
      </c>
      <c r="AD3" s="31">
        <v>2.2724670450099915</v>
      </c>
      <c r="AE3" s="31">
        <v>10.28754622722002</v>
      </c>
      <c r="AF3" s="31">
        <v>5.4401045488799822</v>
      </c>
      <c r="AG3" s="31">
        <v>1.1755110247799982</v>
      </c>
      <c r="AH3" s="31">
        <v>0.68021227112999938</v>
      </c>
      <c r="AI3" s="31">
        <v>0.81432468947000181</v>
      </c>
      <c r="AJ3" s="31">
        <v>0</v>
      </c>
      <c r="AK3" s="31">
        <v>2.2121676114999973</v>
      </c>
      <c r="AL3" s="31">
        <v>0.66193968768000122</v>
      </c>
      <c r="AM3" s="31">
        <v>13.259265012219998</v>
      </c>
      <c r="AN3" s="31">
        <v>7.8427234195599906</v>
      </c>
      <c r="AO3" s="31">
        <v>0.37973543117999969</v>
      </c>
      <c r="AP3" s="31">
        <v>0</v>
      </c>
      <c r="AQ3" s="31">
        <v>5.8091564547400232</v>
      </c>
      <c r="AR3" s="31">
        <v>0.86329363741999932</v>
      </c>
      <c r="AS3" s="31">
        <v>0.23375864530999946</v>
      </c>
      <c r="AT3" s="31">
        <v>0.63048494514999964</v>
      </c>
      <c r="AU3" s="31">
        <v>0.19878543106000016</v>
      </c>
      <c r="AV3" s="31">
        <v>0.33889630542000021</v>
      </c>
      <c r="AW3" s="31">
        <v>0.42873320423999955</v>
      </c>
      <c r="AX3" s="31">
        <v>1.2959990638800021</v>
      </c>
      <c r="AY3" s="31">
        <v>0.63765165755000153</v>
      </c>
      <c r="AZ3" s="31">
        <v>0.10024816406000003</v>
      </c>
      <c r="BA3" s="31">
        <v>1.1385798463399994</v>
      </c>
      <c r="BB3" s="31">
        <v>5.3437626423599927</v>
      </c>
      <c r="BC3" s="31">
        <v>1.1001095923599982</v>
      </c>
      <c r="BD3" s="31">
        <v>0.22374630641000021</v>
      </c>
      <c r="BE3" s="31">
        <v>9.3383366290000033E-2</v>
      </c>
      <c r="BF3" s="31">
        <v>2.3558802813600095</v>
      </c>
      <c r="BG3" s="31">
        <v>0.9065332933499991</v>
      </c>
      <c r="BH3" s="31">
        <v>5.2944318610000006E-2</v>
      </c>
      <c r="BI3" s="31">
        <v>1.3221855233499966</v>
      </c>
      <c r="BJ3" s="31">
        <v>1.6009748647899971</v>
      </c>
      <c r="BK3" s="31">
        <v>1.3408618859400021</v>
      </c>
      <c r="BL3" s="31">
        <v>1.0964806206100006</v>
      </c>
      <c r="BM3" s="31">
        <v>0</v>
      </c>
      <c r="BN3" s="31">
        <v>0</v>
      </c>
      <c r="BO3" s="31">
        <v>0</v>
      </c>
      <c r="BP3" s="31">
        <v>0</v>
      </c>
      <c r="BQ3" s="31">
        <v>0.15339580579000012</v>
      </c>
      <c r="BR3" s="31">
        <v>1.9062779021199932</v>
      </c>
      <c r="BS3" s="31">
        <v>0</v>
      </c>
      <c r="BT3" s="31">
        <v>0.36618731202999999</v>
      </c>
      <c r="BU3" s="31">
        <v>0</v>
      </c>
      <c r="BV3" s="31">
        <v>0</v>
      </c>
      <c r="BW3" s="31">
        <v>0</v>
      </c>
      <c r="BX3" s="31">
        <v>0</v>
      </c>
      <c r="BY3" s="31">
        <v>0</v>
      </c>
      <c r="BZ3" s="31">
        <v>0</v>
      </c>
      <c r="CA3" s="31">
        <v>0</v>
      </c>
      <c r="CB3" s="31">
        <v>0</v>
      </c>
      <c r="CC3" s="31">
        <v>1.8059151633699975</v>
      </c>
      <c r="CD3" s="31">
        <v>0</v>
      </c>
      <c r="CE3" s="31">
        <v>0</v>
      </c>
      <c r="CF3" s="31">
        <v>0</v>
      </c>
      <c r="CG3" s="31">
        <v>0.27571398724999963</v>
      </c>
      <c r="CH3" s="31">
        <v>0.10787428735</v>
      </c>
      <c r="CI3" s="31">
        <v>2.8725591844399974</v>
      </c>
      <c r="CJ3" s="31">
        <v>0.15237733648000024</v>
      </c>
      <c r="CK3" s="31">
        <v>0.18432271159000013</v>
      </c>
      <c r="CL3" s="31">
        <v>0</v>
      </c>
      <c r="CM3" s="31">
        <v>0</v>
      </c>
      <c r="CN3" s="31">
        <v>0</v>
      </c>
      <c r="CO3" s="31">
        <v>0</v>
      </c>
      <c r="CP3" s="31">
        <v>0</v>
      </c>
      <c r="CQ3" s="31">
        <v>6.8140599350000025E-2</v>
      </c>
      <c r="CR3" s="31">
        <v>1.9999587859599963</v>
      </c>
      <c r="CS3" s="31">
        <v>7.4458228660000111E-2</v>
      </c>
      <c r="CT3" s="31">
        <v>6.9612121379999989E-2</v>
      </c>
      <c r="CU3" s="31">
        <v>0.62373889894000167</v>
      </c>
      <c r="CV3" s="31">
        <v>2.2797559189999993E-2</v>
      </c>
      <c r="CW3" s="31">
        <v>13.187124639149998</v>
      </c>
      <c r="CX3" s="31">
        <v>7.2140475519999997E-2</v>
      </c>
      <c r="CY3" s="31">
        <v>6.7845226410599917</v>
      </c>
      <c r="CZ3" s="31">
        <v>1.05820072125</v>
      </c>
      <c r="DA3" s="31">
        <v>0.24163114745</v>
      </c>
      <c r="DB3" s="31">
        <v>0.13810465204000003</v>
      </c>
      <c r="DC3" s="31">
        <v>0</v>
      </c>
      <c r="DD3" s="31">
        <v>0</v>
      </c>
      <c r="DE3" s="31">
        <v>0</v>
      </c>
      <c r="DF3" s="31">
        <v>0</v>
      </c>
      <c r="DG3" s="31">
        <v>2.5096772646999956</v>
      </c>
      <c r="DH3" s="31">
        <v>1.3841661318500005</v>
      </c>
      <c r="DI3" s="31">
        <v>0.99989447415000043</v>
      </c>
      <c r="DJ3" s="31">
        <v>0.12847652539000004</v>
      </c>
      <c r="DK3" s="31">
        <v>0.78693302475999871</v>
      </c>
      <c r="DL3" s="31">
        <v>0.74616284243999953</v>
      </c>
      <c r="DM3" s="31">
        <v>9.597858154000001E-2</v>
      </c>
      <c r="DN3" s="31">
        <v>2.1151590900000006E-2</v>
      </c>
      <c r="DO3" s="31">
        <v>0.23375864530999946</v>
      </c>
      <c r="DP3" s="31">
        <v>0.44950424867999988</v>
      </c>
      <c r="DQ3" s="31">
        <v>0.15178771739000013</v>
      </c>
      <c r="DR3" s="31">
        <v>2.9192104279999995E-2</v>
      </c>
      <c r="DS3" s="31">
        <v>6.5887707800000011E-3</v>
      </c>
      <c r="DT3" s="31">
        <v>0</v>
      </c>
      <c r="DU3" s="31">
        <v>0</v>
      </c>
      <c r="DV3" s="31">
        <v>0.30964862293000006</v>
      </c>
      <c r="DW3" s="31">
        <v>0.11908491470999992</v>
      </c>
      <c r="DX3" s="31">
        <v>0.61619997399000015</v>
      </c>
      <c r="DY3" s="31">
        <v>0.21569590265000019</v>
      </c>
      <c r="DZ3" s="31">
        <v>0.46410576251000052</v>
      </c>
      <c r="EA3" s="31">
        <v>0.30748268781999993</v>
      </c>
      <c r="EB3" s="31">
        <v>0.24970248483999991</v>
      </c>
      <c r="EC3" s="31">
        <v>8.0452723650000002E-2</v>
      </c>
      <c r="ED3" s="31">
        <v>0.84175759503000014</v>
      </c>
      <c r="EE3" s="31">
        <v>1.961314569E-2</v>
      </c>
      <c r="EF3" s="31">
        <v>0.14867615623999997</v>
      </c>
      <c r="EG3" s="31">
        <v>2.8924182000000001E-4</v>
      </c>
      <c r="EH3" s="31">
        <v>0.41017499767999976</v>
      </c>
      <c r="EI3" s="31">
        <v>2.6241127785499994</v>
      </c>
      <c r="EJ3" s="31">
        <v>0.80115696828999916</v>
      </c>
      <c r="EK3" s="31">
        <v>1.5083264028399985</v>
      </c>
      <c r="EL3" s="31">
        <v>0</v>
      </c>
      <c r="EM3" s="31">
        <v>0</v>
      </c>
      <c r="EN3" s="31">
        <v>0.16018841931000002</v>
      </c>
      <c r="EO3" s="31">
        <v>0</v>
      </c>
      <c r="EP3" s="31">
        <v>0</v>
      </c>
      <c r="EQ3" s="31">
        <v>0</v>
      </c>
      <c r="ER3" s="31">
        <v>0.22374630641000021</v>
      </c>
      <c r="ES3" s="31">
        <v>9.3383366290000033E-2</v>
      </c>
      <c r="ET3" s="31">
        <v>2.3558802813600095</v>
      </c>
      <c r="EU3" s="31">
        <v>0.29583713627000013</v>
      </c>
      <c r="EV3" s="31">
        <v>8.5329994980000032E-2</v>
      </c>
      <c r="EW3" s="31">
        <v>0.30797560576999999</v>
      </c>
      <c r="EX3" s="31">
        <v>0.1802135619600001</v>
      </c>
      <c r="EY3" s="31">
        <v>3.717566806E-2</v>
      </c>
      <c r="EZ3" s="31">
        <v>4.6754937180000004E-2</v>
      </c>
      <c r="FA3" s="31">
        <v>0</v>
      </c>
      <c r="FB3" s="31">
        <v>6.189381429999999E-3</v>
      </c>
      <c r="FC3" s="31">
        <v>0.29428251520000048</v>
      </c>
      <c r="FD3" s="31">
        <v>0.11014830352000003</v>
      </c>
      <c r="FE3" s="31">
        <v>0.46534447666000045</v>
      </c>
      <c r="FF3" s="31">
        <v>0.45241141096999987</v>
      </c>
      <c r="FG3" s="31">
        <v>0</v>
      </c>
      <c r="FH3" s="31">
        <v>0.42786038291000056</v>
      </c>
      <c r="FI3" s="31">
        <v>0.83839521885000212</v>
      </c>
      <c r="FJ3" s="31">
        <v>0</v>
      </c>
      <c r="FK3" s="31">
        <v>0.37014450105999963</v>
      </c>
      <c r="FL3" s="31">
        <v>0.57749688058999915</v>
      </c>
      <c r="FM3" s="31">
        <v>0.3932279830100005</v>
      </c>
      <c r="FN3" s="31">
        <v>0</v>
      </c>
      <c r="FO3" s="31">
        <v>0</v>
      </c>
      <c r="FP3" s="31">
        <v>0</v>
      </c>
      <c r="FQ3" s="31">
        <v>0</v>
      </c>
      <c r="FR3" s="31">
        <v>0</v>
      </c>
      <c r="FS3" s="31">
        <v>0.15339580579000012</v>
      </c>
      <c r="FT3" s="31">
        <v>1.6738389294599962</v>
      </c>
      <c r="FU3" s="31">
        <v>0</v>
      </c>
      <c r="FV3" s="31">
        <v>0.23244161664999977</v>
      </c>
      <c r="FW3" s="31">
        <v>0</v>
      </c>
      <c r="FX3" s="31">
        <v>0</v>
      </c>
      <c r="FY3" s="31">
        <v>0</v>
      </c>
      <c r="FZ3" s="31">
        <v>0</v>
      </c>
      <c r="GA3" s="31">
        <v>0</v>
      </c>
      <c r="GB3" s="31">
        <v>0.36618731202999999</v>
      </c>
      <c r="GC3" s="31">
        <v>0</v>
      </c>
      <c r="GD3" s="31">
        <v>0</v>
      </c>
      <c r="GE3" s="31">
        <v>0</v>
      </c>
      <c r="GF3" s="31">
        <v>0</v>
      </c>
      <c r="GG3" s="31">
        <v>0</v>
      </c>
      <c r="GH3" s="31">
        <v>0</v>
      </c>
      <c r="GI3" s="31">
        <v>0</v>
      </c>
      <c r="GJ3" s="31">
        <v>0</v>
      </c>
      <c r="GK3" s="31">
        <v>0</v>
      </c>
      <c r="GL3" s="31">
        <v>0</v>
      </c>
      <c r="GM3" s="31">
        <v>0</v>
      </c>
      <c r="GN3" s="31">
        <v>0</v>
      </c>
      <c r="GO3" s="31">
        <v>0</v>
      </c>
      <c r="GP3" s="31">
        <v>0</v>
      </c>
      <c r="GQ3" s="31">
        <v>0</v>
      </c>
      <c r="GR3" s="31">
        <v>0</v>
      </c>
      <c r="GS3" s="31">
        <v>0</v>
      </c>
      <c r="GT3" s="31">
        <v>0</v>
      </c>
      <c r="GU3" s="31">
        <v>0</v>
      </c>
      <c r="GV3" s="31">
        <v>0</v>
      </c>
      <c r="GW3" s="31">
        <v>0</v>
      </c>
      <c r="GX3" s="31">
        <v>0</v>
      </c>
      <c r="GY3" s="31">
        <v>0</v>
      </c>
      <c r="GZ3" s="31">
        <v>0</v>
      </c>
      <c r="HA3" s="31">
        <v>0</v>
      </c>
      <c r="HB3" s="31">
        <v>0</v>
      </c>
      <c r="HC3" s="31">
        <v>0</v>
      </c>
      <c r="HD3" s="31">
        <v>0</v>
      </c>
      <c r="HE3" s="31">
        <v>0</v>
      </c>
      <c r="HF3" s="31">
        <v>0</v>
      </c>
      <c r="HG3" s="31">
        <v>0</v>
      </c>
      <c r="HH3" s="31">
        <v>0</v>
      </c>
      <c r="HI3" s="31">
        <v>0</v>
      </c>
      <c r="HJ3" s="31">
        <v>0</v>
      </c>
      <c r="HK3" s="31">
        <v>0</v>
      </c>
      <c r="HL3" s="31">
        <v>0</v>
      </c>
      <c r="HM3" s="31">
        <v>0</v>
      </c>
      <c r="HN3" s="31">
        <v>0</v>
      </c>
      <c r="HO3" s="31">
        <v>0</v>
      </c>
      <c r="HP3" s="31">
        <v>0</v>
      </c>
      <c r="HQ3" s="31">
        <v>0</v>
      </c>
      <c r="HR3" s="31">
        <v>0</v>
      </c>
      <c r="HS3" s="31">
        <v>0</v>
      </c>
      <c r="HT3" s="31">
        <v>0</v>
      </c>
      <c r="HU3" s="31">
        <v>0</v>
      </c>
      <c r="HV3" s="31">
        <v>0</v>
      </c>
      <c r="HW3" s="31">
        <v>0</v>
      </c>
      <c r="HX3" s="31">
        <v>0</v>
      </c>
      <c r="HY3" s="31">
        <v>0</v>
      </c>
      <c r="HZ3" s="31">
        <v>0</v>
      </c>
      <c r="IA3" s="31">
        <v>0.71904351701000091</v>
      </c>
      <c r="IB3" s="31">
        <v>0</v>
      </c>
      <c r="IC3" s="31">
        <v>3.2978597559999989E-2</v>
      </c>
      <c r="ID3" s="31">
        <v>0</v>
      </c>
      <c r="IE3" s="31">
        <v>1.0538879364399985</v>
      </c>
      <c r="IF3" s="31">
        <v>0</v>
      </c>
      <c r="IG3" s="31">
        <v>0</v>
      </c>
      <c r="IH3" s="31">
        <v>0</v>
      </c>
      <c r="II3" s="31">
        <v>0</v>
      </c>
      <c r="IJ3" s="31">
        <v>0</v>
      </c>
      <c r="IK3" s="31">
        <v>0</v>
      </c>
      <c r="IL3" s="31">
        <v>0.15355199959999963</v>
      </c>
      <c r="IM3" s="31">
        <v>0.1221600961699998</v>
      </c>
      <c r="IN3" s="31">
        <v>0.10787428735</v>
      </c>
      <c r="IO3" s="31">
        <v>0</v>
      </c>
      <c r="IP3" s="31">
        <v>0.95012989760999877</v>
      </c>
      <c r="IQ3" s="31">
        <v>1.0559656186400006</v>
      </c>
      <c r="IR3" s="31">
        <v>0.86646400577000138</v>
      </c>
      <c r="IS3" s="31">
        <v>0.15237733648000024</v>
      </c>
      <c r="IT3" s="31">
        <v>0.18432271159000013</v>
      </c>
      <c r="IU3" s="31">
        <v>0</v>
      </c>
      <c r="IV3" s="31">
        <v>0</v>
      </c>
      <c r="IW3" s="31">
        <v>0</v>
      </c>
      <c r="IX3" s="31">
        <v>0</v>
      </c>
      <c r="IY3" s="31">
        <v>0</v>
      </c>
      <c r="IZ3" s="31">
        <v>0</v>
      </c>
      <c r="JA3" s="31">
        <v>0</v>
      </c>
      <c r="JB3" s="31">
        <v>6.8140599350000025E-2</v>
      </c>
      <c r="JC3" s="31">
        <v>0.4841949830599992</v>
      </c>
      <c r="JD3" s="31">
        <v>1.1381870128999982</v>
      </c>
      <c r="JE3" s="31">
        <v>0.27774750061999981</v>
      </c>
      <c r="JF3" s="31">
        <v>7.4458228660000111E-2</v>
      </c>
      <c r="JG3" s="31">
        <v>6.9612121379999989E-2</v>
      </c>
      <c r="JH3" s="31">
        <v>0.16727443815999993</v>
      </c>
      <c r="JI3" s="31">
        <v>0.33877368392999979</v>
      </c>
      <c r="JJ3" s="31">
        <v>0.11768268442000007</v>
      </c>
      <c r="JK3" s="31">
        <v>2.2797559189999993E-2</v>
      </c>
      <c r="JL3" s="31">
        <v>13.187124639149998</v>
      </c>
      <c r="JM3" s="31">
        <v>7.2140475519999997E-2</v>
      </c>
      <c r="JN3" s="31">
        <v>6.7845226410599917</v>
      </c>
      <c r="JO3" s="31">
        <v>0.92089322395000028</v>
      </c>
      <c r="JP3" s="31">
        <v>0.13730758233000001</v>
      </c>
      <c r="JQ3" s="31">
        <v>0.24163114745</v>
      </c>
      <c r="JR3" s="31">
        <v>0.13810465204000003</v>
      </c>
      <c r="JS3" s="31">
        <v>0</v>
      </c>
      <c r="JT3" s="31">
        <v>0</v>
      </c>
      <c r="JU3" s="31">
        <v>0</v>
      </c>
      <c r="JV3" s="31">
        <v>0</v>
      </c>
      <c r="JW3" s="31">
        <v>2.5096772646999956</v>
      </c>
      <c r="JX3" s="31">
        <v>0</v>
      </c>
      <c r="JY3" s="31">
        <v>0</v>
      </c>
      <c r="JZ3" s="31">
        <v>0.99989447415000043</v>
      </c>
      <c r="KA3" s="31">
        <v>0.12847652539000004</v>
      </c>
      <c r="KB3" s="31">
        <v>0.78693302475999871</v>
      </c>
      <c r="KC3" s="31">
        <v>0.74616284243999953</v>
      </c>
      <c r="KD3" s="31">
        <v>9.597858154000001E-2</v>
      </c>
      <c r="KE3" s="31">
        <v>2.1151590900000006E-2</v>
      </c>
      <c r="KF3" s="31">
        <v>0.23375864530999946</v>
      </c>
      <c r="KG3" s="31">
        <v>9.7140415110000045E-2</v>
      </c>
      <c r="KH3" s="31">
        <v>0.17634560925000003</v>
      </c>
      <c r="KI3" s="31">
        <v>0</v>
      </c>
      <c r="KJ3" s="31">
        <v>0</v>
      </c>
      <c r="KK3" s="31">
        <v>0</v>
      </c>
      <c r="KL3" s="31">
        <v>0</v>
      </c>
      <c r="KM3" s="31">
        <v>0.16279989615999998</v>
      </c>
      <c r="KN3" s="31">
        <v>0.15178771739000013</v>
      </c>
      <c r="KO3" s="31">
        <v>2.9192104279999995E-2</v>
      </c>
      <c r="KP3" s="31">
        <v>0</v>
      </c>
      <c r="KQ3" s="31">
        <v>0</v>
      </c>
      <c r="KR3" s="31">
        <v>0</v>
      </c>
      <c r="KS3" s="31">
        <v>6.5887707800000011E-3</v>
      </c>
      <c r="KT3" s="31">
        <v>0</v>
      </c>
      <c r="KU3" s="31">
        <v>0</v>
      </c>
      <c r="KV3" s="31">
        <v>0</v>
      </c>
      <c r="KW3" s="31">
        <v>0</v>
      </c>
      <c r="KX3" s="31">
        <v>0</v>
      </c>
      <c r="KY3" s="31">
        <v>0</v>
      </c>
      <c r="KZ3" s="31">
        <v>0.61619997399000015</v>
      </c>
      <c r="LA3" s="31">
        <v>0.21569590265000019</v>
      </c>
      <c r="LB3" s="31">
        <v>0.46410576251000052</v>
      </c>
      <c r="LC3" s="31">
        <v>0.30748268781999993</v>
      </c>
      <c r="LD3" s="31">
        <v>0.24970248483999991</v>
      </c>
      <c r="LE3" s="31">
        <v>0</v>
      </c>
      <c r="LF3" s="31">
        <v>0</v>
      </c>
      <c r="LG3" s="31">
        <v>8.0452723650000002E-2</v>
      </c>
      <c r="LH3" s="31">
        <v>0.51673234189999995</v>
      </c>
      <c r="LI3" s="31">
        <v>0.32502525312999991</v>
      </c>
      <c r="LJ3" s="31">
        <v>1.961314569E-2</v>
      </c>
      <c r="LK3" s="31">
        <v>0.14867615623999997</v>
      </c>
      <c r="LL3" s="31">
        <v>2.8924182000000001E-4</v>
      </c>
      <c r="LM3" s="31">
        <v>0.41017499767999976</v>
      </c>
      <c r="LN3" s="31">
        <v>2.6241127785499994</v>
      </c>
      <c r="LO3" s="31">
        <v>0.80115696828999916</v>
      </c>
      <c r="LP3" s="31">
        <v>1.5083264028399985</v>
      </c>
      <c r="LQ3" s="31">
        <v>0</v>
      </c>
      <c r="LR3" s="31">
        <v>0</v>
      </c>
      <c r="LS3" s="31">
        <v>0.16018841931000002</v>
      </c>
      <c r="LT3" s="31">
        <v>0</v>
      </c>
      <c r="LU3" s="31">
        <v>0</v>
      </c>
      <c r="LV3" s="31">
        <v>0</v>
      </c>
      <c r="LW3" s="31">
        <v>0</v>
      </c>
      <c r="LX3" s="31">
        <v>9.3383366290000033E-2</v>
      </c>
      <c r="LY3" s="31">
        <v>2.3558802813600095</v>
      </c>
      <c r="LZ3" s="31">
        <v>5.6040714969999988E-2</v>
      </c>
      <c r="MA3" s="31">
        <v>0.2397968712200001</v>
      </c>
      <c r="MB3" s="31">
        <v>8.5329994980000032E-2</v>
      </c>
      <c r="MC3" s="31">
        <v>0</v>
      </c>
      <c r="MD3" s="31">
        <v>0.30797560576999999</v>
      </c>
      <c r="ME3" s="31">
        <v>0.1802135619600001</v>
      </c>
      <c r="MF3" s="31">
        <v>3.717566806E-2</v>
      </c>
      <c r="MG3" s="31">
        <v>4.6754937180000004E-2</v>
      </c>
      <c r="MH3" s="31">
        <v>0</v>
      </c>
      <c r="MI3" s="31">
        <v>0</v>
      </c>
      <c r="MJ3" s="31">
        <v>6.189381429999999E-3</v>
      </c>
      <c r="MK3" s="31">
        <v>0.29428251520000048</v>
      </c>
      <c r="ML3" s="31">
        <v>0.11014830352000003</v>
      </c>
      <c r="MM3" s="31">
        <v>0.46534447666000045</v>
      </c>
      <c r="MN3" s="31">
        <v>0.45241141096999987</v>
      </c>
      <c r="MO3" s="31">
        <v>0</v>
      </c>
      <c r="MP3" s="31">
        <v>0.42786038291000056</v>
      </c>
      <c r="MQ3" s="31">
        <v>0</v>
      </c>
      <c r="MR3" s="31">
        <v>0</v>
      </c>
      <c r="MS3" s="31">
        <v>0.6896420644100002</v>
      </c>
      <c r="MT3" s="31">
        <v>0.14876349867999988</v>
      </c>
      <c r="MU3" s="31">
        <v>0</v>
      </c>
      <c r="MV3" s="31">
        <v>0.37014450105999963</v>
      </c>
      <c r="MW3" s="31">
        <v>0.57749688058999915</v>
      </c>
      <c r="MX3" s="31">
        <v>0.3932279830100005</v>
      </c>
      <c r="MY3" s="31">
        <v>0</v>
      </c>
      <c r="MZ3" s="31">
        <v>0</v>
      </c>
      <c r="NA3" s="31">
        <v>0</v>
      </c>
      <c r="NB3" s="31">
        <v>0</v>
      </c>
      <c r="NC3" s="31">
        <v>0</v>
      </c>
      <c r="ND3" s="31">
        <v>0.15339580579000012</v>
      </c>
      <c r="NE3" s="31">
        <v>0</v>
      </c>
      <c r="NF3" s="31">
        <v>0</v>
      </c>
      <c r="NG3" s="31">
        <v>0.23244161664999977</v>
      </c>
      <c r="NH3" s="31">
        <v>0.36618731202999999</v>
      </c>
      <c r="NI3" s="31">
        <v>0.71904351701000091</v>
      </c>
      <c r="NJ3" s="31">
        <v>3.2978597559999989E-2</v>
      </c>
      <c r="NK3" s="31">
        <v>1.0538879364399985</v>
      </c>
      <c r="NL3" s="31">
        <v>0</v>
      </c>
      <c r="NM3" s="31">
        <v>0.15355199959999963</v>
      </c>
      <c r="NN3" s="31">
        <v>0</v>
      </c>
      <c r="NO3" s="31">
        <v>0</v>
      </c>
      <c r="NP3" s="31">
        <v>3.9866494730000007E-2</v>
      </c>
      <c r="NQ3" s="31">
        <v>6.8007792620000049E-2</v>
      </c>
      <c r="NR3" s="31">
        <v>0</v>
      </c>
      <c r="NS3" s="31">
        <v>0.95012989760999877</v>
      </c>
      <c r="NT3" s="31">
        <v>1.0559656186400006</v>
      </c>
      <c r="NU3" s="31">
        <v>0.86646400577000138</v>
      </c>
      <c r="NV3" s="31">
        <v>0.15237733648000024</v>
      </c>
      <c r="NW3" s="31">
        <v>0.12792161362999999</v>
      </c>
    </row>
    <row r="4" spans="1:387">
      <c r="A4" s="31" t="s">
        <v>389</v>
      </c>
      <c r="B4" s="31"/>
      <c r="C4" s="31"/>
      <c r="D4" s="31"/>
      <c r="E4" s="31"/>
      <c r="F4" s="31"/>
      <c r="G4" s="31"/>
      <c r="H4" s="31"/>
      <c r="I4" s="31"/>
      <c r="J4" s="31"/>
      <c r="K4" s="31"/>
      <c r="L4" s="31"/>
      <c r="M4" s="31"/>
      <c r="N4" s="31"/>
      <c r="O4" s="31"/>
      <c r="P4" s="31"/>
      <c r="Q4" s="31"/>
      <c r="R4" s="31"/>
      <c r="S4" s="31">
        <v>82.291500099289692</v>
      </c>
      <c r="T4" s="31">
        <v>12.245759450799978</v>
      </c>
      <c r="U4" s="31">
        <v>1.5564218328700008</v>
      </c>
      <c r="V4" s="31">
        <v>3.34869465118999</v>
      </c>
      <c r="W4" s="31">
        <v>29.858391986239955</v>
      </c>
      <c r="X4" s="31">
        <v>3.3046776340000052</v>
      </c>
      <c r="Y4" s="31">
        <v>2.4183394310400077</v>
      </c>
      <c r="Z4" s="31">
        <v>9.3443009475500052</v>
      </c>
      <c r="AA4" s="31">
        <v>2.7109359476500052</v>
      </c>
      <c r="AB4" s="31">
        <v>7.3231032524000179</v>
      </c>
      <c r="AC4" s="31">
        <v>0.66259681886999877</v>
      </c>
      <c r="AD4" s="31">
        <v>3.0239062518699957</v>
      </c>
      <c r="AE4" s="31">
        <v>11.00681897835001</v>
      </c>
      <c r="AF4" s="31">
        <v>6.4943687872800107</v>
      </c>
      <c r="AG4" s="31">
        <v>1.2389473557299999</v>
      </c>
      <c r="AH4" s="31">
        <v>0.78644723388999926</v>
      </c>
      <c r="AI4" s="31">
        <v>0.76997303720999943</v>
      </c>
      <c r="AJ4" s="31">
        <v>0</v>
      </c>
      <c r="AK4" s="31">
        <v>2.6270682460100026</v>
      </c>
      <c r="AL4" s="31">
        <v>0.72162690963999987</v>
      </c>
      <c r="AM4" s="31">
        <v>11.669459036520008</v>
      </c>
      <c r="AN4" s="31">
        <v>9.7470308427100232</v>
      </c>
      <c r="AO4" s="31">
        <v>0.48021796623999935</v>
      </c>
      <c r="AP4" s="31">
        <v>0</v>
      </c>
      <c r="AQ4" s="31">
        <v>5.9756850963900101</v>
      </c>
      <c r="AR4" s="31">
        <v>1.0378527350799995</v>
      </c>
      <c r="AS4" s="31">
        <v>0.28106522150999991</v>
      </c>
      <c r="AT4" s="31">
        <v>0.68160063313000019</v>
      </c>
      <c r="AU4" s="31">
        <v>0.2747672728499998</v>
      </c>
      <c r="AV4" s="31">
        <v>0.4148838143400011</v>
      </c>
      <c r="AW4" s="31">
        <v>0.51423032318999984</v>
      </c>
      <c r="AX4" s="31">
        <v>1.5644544823499995</v>
      </c>
      <c r="AY4" s="31">
        <v>0.75845962777999787</v>
      </c>
      <c r="AZ4" s="31">
        <v>9.2689311349999998E-2</v>
      </c>
      <c r="BA4" s="31">
        <v>1.7946328372699978</v>
      </c>
      <c r="BB4" s="31">
        <v>7.0216833609000124</v>
      </c>
      <c r="BC4" s="31">
        <v>1.0570239796600016</v>
      </c>
      <c r="BD4" s="31">
        <v>0.21831941692000018</v>
      </c>
      <c r="BE4" s="31">
        <v>0.13906402198999993</v>
      </c>
      <c r="BF4" s="31">
        <v>2.3535586345899953</v>
      </c>
      <c r="BG4" s="31">
        <v>0.98902403900999925</v>
      </c>
      <c r="BH4" s="31">
        <v>0.12366975281000003</v>
      </c>
      <c r="BI4" s="31">
        <v>1.4879940221299965</v>
      </c>
      <c r="BJ4" s="31">
        <v>1.9135622875200002</v>
      </c>
      <c r="BK4" s="31">
        <v>1.456179406139998</v>
      </c>
      <c r="BL4" s="31">
        <v>1.3526795668200007</v>
      </c>
      <c r="BM4" s="31">
        <v>0</v>
      </c>
      <c r="BN4" s="31">
        <v>0</v>
      </c>
      <c r="BO4" s="31">
        <v>0</v>
      </c>
      <c r="BP4" s="31">
        <v>0</v>
      </c>
      <c r="BQ4" s="31">
        <v>0.12779815564000008</v>
      </c>
      <c r="BR4" s="31">
        <v>2.4912165387899985</v>
      </c>
      <c r="BS4" s="31">
        <v>0</v>
      </c>
      <c r="BT4" s="31">
        <v>0.53268741946999987</v>
      </c>
      <c r="BU4" s="31">
        <v>0</v>
      </c>
      <c r="BV4" s="31">
        <v>0</v>
      </c>
      <c r="BW4" s="31">
        <v>0</v>
      </c>
      <c r="BX4" s="31">
        <v>0</v>
      </c>
      <c r="BY4" s="31">
        <v>0</v>
      </c>
      <c r="BZ4" s="31">
        <v>0</v>
      </c>
      <c r="CA4" s="31">
        <v>0</v>
      </c>
      <c r="CB4" s="31">
        <v>0</v>
      </c>
      <c r="CC4" s="31">
        <v>2.0372391098000011</v>
      </c>
      <c r="CD4" s="31">
        <v>0</v>
      </c>
      <c r="CE4" s="31">
        <v>0</v>
      </c>
      <c r="CF4" s="31">
        <v>0</v>
      </c>
      <c r="CG4" s="31">
        <v>0.29150829304000014</v>
      </c>
      <c r="CH4" s="31">
        <v>0.16325921791999992</v>
      </c>
      <c r="CI4" s="31">
        <v>3.5245866601300073</v>
      </c>
      <c r="CJ4" s="31">
        <v>0.14668713611999987</v>
      </c>
      <c r="CK4" s="31">
        <v>0.2797073568399997</v>
      </c>
      <c r="CL4" s="31">
        <v>0</v>
      </c>
      <c r="CM4" s="31">
        <v>0</v>
      </c>
      <c r="CN4" s="31">
        <v>0</v>
      </c>
      <c r="CO4" s="31">
        <v>0</v>
      </c>
      <c r="CP4" s="31">
        <v>0</v>
      </c>
      <c r="CQ4" s="31">
        <v>6.9154365399999987E-2</v>
      </c>
      <c r="CR4" s="31">
        <v>2.3863085930499945</v>
      </c>
      <c r="CS4" s="31">
        <v>9.0337072309999891E-2</v>
      </c>
      <c r="CT4" s="31">
        <v>8.1266007620000011E-2</v>
      </c>
      <c r="CU4" s="31">
        <v>0.6861781622100005</v>
      </c>
      <c r="CV4" s="31">
        <v>2.0299485570000001E-2</v>
      </c>
      <c r="CW4" s="31">
        <v>11.575099158979997</v>
      </c>
      <c r="CX4" s="31">
        <v>9.4360256820000002E-2</v>
      </c>
      <c r="CY4" s="31">
        <v>8.7250079021300024</v>
      </c>
      <c r="CZ4" s="31">
        <v>1.0220228916399996</v>
      </c>
      <c r="DA4" s="31">
        <v>0.29485336784000005</v>
      </c>
      <c r="DB4" s="31">
        <v>0.18536465303999997</v>
      </c>
      <c r="DC4" s="31">
        <v>0</v>
      </c>
      <c r="DD4" s="31">
        <v>0</v>
      </c>
      <c r="DE4" s="31">
        <v>0</v>
      </c>
      <c r="DF4" s="31">
        <v>0</v>
      </c>
      <c r="DG4" s="31">
        <v>2.5595029158999982</v>
      </c>
      <c r="DH4" s="31">
        <v>1.4757931422500021</v>
      </c>
      <c r="DI4" s="31">
        <v>1.1232801086399991</v>
      </c>
      <c r="DJ4" s="31">
        <v>0.11911479533999993</v>
      </c>
      <c r="DK4" s="31">
        <v>0.69798661617999924</v>
      </c>
      <c r="DL4" s="31">
        <v>0.89294143879999954</v>
      </c>
      <c r="DM4" s="31">
        <v>0.12523199859999989</v>
      </c>
      <c r="DN4" s="31">
        <v>1.9679866089999998E-2</v>
      </c>
      <c r="DO4" s="31">
        <v>0.28106522150999991</v>
      </c>
      <c r="DP4" s="31">
        <v>0.4763012222100001</v>
      </c>
      <c r="DQ4" s="31">
        <v>0.16616507186000004</v>
      </c>
      <c r="DR4" s="31">
        <v>3.9132844909999978E-2</v>
      </c>
      <c r="DS4" s="31">
        <v>9.576424410000001E-3</v>
      </c>
      <c r="DT4" s="31">
        <v>0</v>
      </c>
      <c r="DU4" s="31">
        <v>0</v>
      </c>
      <c r="DV4" s="31">
        <v>0.35802161834000029</v>
      </c>
      <c r="DW4" s="31">
        <v>0.15620944906000003</v>
      </c>
      <c r="DX4" s="31">
        <v>0.71029714487000295</v>
      </c>
      <c r="DY4" s="31">
        <v>0.2369889576499998</v>
      </c>
      <c r="DZ4" s="31">
        <v>0.61717291106999994</v>
      </c>
      <c r="EA4" s="31">
        <v>0.31230703356000045</v>
      </c>
      <c r="EB4" s="31">
        <v>0.3446831950099995</v>
      </c>
      <c r="EC4" s="31">
        <v>0.10145544929000001</v>
      </c>
      <c r="ED4" s="31">
        <v>1.3782946592699996</v>
      </c>
      <c r="EE4" s="31">
        <v>9.6158097359999972E-2</v>
      </c>
      <c r="EF4" s="31">
        <v>0.10393097839000001</v>
      </c>
      <c r="EG4" s="31">
        <v>0</v>
      </c>
      <c r="EH4" s="31">
        <v>0.51840114843999996</v>
      </c>
      <c r="EI4" s="31">
        <v>3.4369632396000043</v>
      </c>
      <c r="EJ4" s="31">
        <v>1.1471261924999985</v>
      </c>
      <c r="EK4" s="31">
        <v>1.9191969952399972</v>
      </c>
      <c r="EL4" s="31">
        <v>0</v>
      </c>
      <c r="EM4" s="31">
        <v>0</v>
      </c>
      <c r="EN4" s="31">
        <v>0.18612611214000008</v>
      </c>
      <c r="EO4" s="31">
        <v>0</v>
      </c>
      <c r="EP4" s="31">
        <v>0</v>
      </c>
      <c r="EQ4" s="31">
        <v>0</v>
      </c>
      <c r="ER4" s="31">
        <v>0.21831941692000018</v>
      </c>
      <c r="ES4" s="31">
        <v>0.13906402198999993</v>
      </c>
      <c r="ET4" s="31">
        <v>2.3535586345899953</v>
      </c>
      <c r="EU4" s="31">
        <v>0.3602321902199998</v>
      </c>
      <c r="EV4" s="31">
        <v>8.1347003530000017E-2</v>
      </c>
      <c r="EW4" s="31">
        <v>0.31256946058000012</v>
      </c>
      <c r="EX4" s="31">
        <v>0.20922593537999987</v>
      </c>
      <c r="EY4" s="31">
        <v>2.5648659249999997E-2</v>
      </c>
      <c r="EZ4" s="31">
        <v>0.10184949925</v>
      </c>
      <c r="FA4" s="31">
        <v>0</v>
      </c>
      <c r="FB4" s="31">
        <v>2.1820120770000003E-2</v>
      </c>
      <c r="FC4" s="31">
        <v>0.30106929659000042</v>
      </c>
      <c r="FD4" s="31">
        <v>0.15415821808999988</v>
      </c>
      <c r="FE4" s="31">
        <v>0.57876427367000038</v>
      </c>
      <c r="FF4" s="31">
        <v>0.45400726233000005</v>
      </c>
      <c r="FG4" s="31">
        <v>0</v>
      </c>
      <c r="FH4" s="31">
        <v>0.53393053906000065</v>
      </c>
      <c r="FI4" s="31">
        <v>0.97158281292999871</v>
      </c>
      <c r="FJ4" s="31">
        <v>0</v>
      </c>
      <c r="FK4" s="31">
        <v>0.35696650766999977</v>
      </c>
      <c r="FL4" s="31">
        <v>0.63660581462000121</v>
      </c>
      <c r="FM4" s="31">
        <v>0.4626109167400006</v>
      </c>
      <c r="FN4" s="31">
        <v>0</v>
      </c>
      <c r="FO4" s="31">
        <v>0</v>
      </c>
      <c r="FP4" s="31">
        <v>0</v>
      </c>
      <c r="FQ4" s="31">
        <v>0</v>
      </c>
      <c r="FR4" s="31">
        <v>0</v>
      </c>
      <c r="FS4" s="31">
        <v>0.12779815564000008</v>
      </c>
      <c r="FT4" s="31">
        <v>2.2085631244200026</v>
      </c>
      <c r="FU4" s="31">
        <v>0</v>
      </c>
      <c r="FV4" s="31">
        <v>0.28265328613999979</v>
      </c>
      <c r="FW4" s="31">
        <v>0</v>
      </c>
      <c r="FX4" s="31">
        <v>0</v>
      </c>
      <c r="FY4" s="31">
        <v>0</v>
      </c>
      <c r="FZ4" s="31">
        <v>0</v>
      </c>
      <c r="GA4" s="31">
        <v>0</v>
      </c>
      <c r="GB4" s="31">
        <v>0.53268741946999987</v>
      </c>
      <c r="GC4" s="31">
        <v>0</v>
      </c>
      <c r="GD4" s="31">
        <v>0</v>
      </c>
      <c r="GE4" s="31">
        <v>0</v>
      </c>
      <c r="GF4" s="31">
        <v>0</v>
      </c>
      <c r="GG4" s="31">
        <v>0</v>
      </c>
      <c r="GH4" s="31">
        <v>0</v>
      </c>
      <c r="GI4" s="31">
        <v>0</v>
      </c>
      <c r="GJ4" s="31">
        <v>0</v>
      </c>
      <c r="GK4" s="31">
        <v>0</v>
      </c>
      <c r="GL4" s="31">
        <v>0</v>
      </c>
      <c r="GM4" s="31">
        <v>0</v>
      </c>
      <c r="GN4" s="31">
        <v>0</v>
      </c>
      <c r="GO4" s="31">
        <v>0</v>
      </c>
      <c r="GP4" s="31">
        <v>0</v>
      </c>
      <c r="GQ4" s="31">
        <v>0</v>
      </c>
      <c r="GR4" s="31">
        <v>0</v>
      </c>
      <c r="GS4" s="31">
        <v>0</v>
      </c>
      <c r="GT4" s="31">
        <v>0</v>
      </c>
      <c r="GU4" s="31">
        <v>0</v>
      </c>
      <c r="GV4" s="31">
        <v>0</v>
      </c>
      <c r="GW4" s="31">
        <v>0</v>
      </c>
      <c r="GX4" s="31">
        <v>0</v>
      </c>
      <c r="GY4" s="31">
        <v>0</v>
      </c>
      <c r="GZ4" s="31">
        <v>0</v>
      </c>
      <c r="HA4" s="31">
        <v>0</v>
      </c>
      <c r="HB4" s="31">
        <v>0</v>
      </c>
      <c r="HC4" s="31">
        <v>0</v>
      </c>
      <c r="HD4" s="31">
        <v>0</v>
      </c>
      <c r="HE4" s="31">
        <v>0</v>
      </c>
      <c r="HF4" s="31">
        <v>0</v>
      </c>
      <c r="HG4" s="31">
        <v>0</v>
      </c>
      <c r="HH4" s="31">
        <v>0</v>
      </c>
      <c r="HI4" s="31">
        <v>0</v>
      </c>
      <c r="HJ4" s="31">
        <v>0</v>
      </c>
      <c r="HK4" s="31">
        <v>0</v>
      </c>
      <c r="HL4" s="31">
        <v>0</v>
      </c>
      <c r="HM4" s="31">
        <v>0</v>
      </c>
      <c r="HN4" s="31">
        <v>0</v>
      </c>
      <c r="HO4" s="31">
        <v>0</v>
      </c>
      <c r="HP4" s="31">
        <v>0</v>
      </c>
      <c r="HQ4" s="31">
        <v>0</v>
      </c>
      <c r="HR4" s="31">
        <v>0</v>
      </c>
      <c r="HS4" s="31">
        <v>0</v>
      </c>
      <c r="HT4" s="31">
        <v>0</v>
      </c>
      <c r="HU4" s="31">
        <v>0</v>
      </c>
      <c r="HV4" s="31">
        <v>0</v>
      </c>
      <c r="HW4" s="31">
        <v>0</v>
      </c>
      <c r="HX4" s="31">
        <v>0</v>
      </c>
      <c r="HY4" s="31">
        <v>0</v>
      </c>
      <c r="HZ4" s="31">
        <v>0</v>
      </c>
      <c r="IA4" s="31">
        <v>0.87878270845999873</v>
      </c>
      <c r="IB4" s="31">
        <v>0</v>
      </c>
      <c r="IC4" s="31">
        <v>3.108657099000002E-2</v>
      </c>
      <c r="ID4" s="31">
        <v>0</v>
      </c>
      <c r="IE4" s="31">
        <v>1.1273636186699985</v>
      </c>
      <c r="IF4" s="31">
        <v>0</v>
      </c>
      <c r="IG4" s="31">
        <v>0</v>
      </c>
      <c r="IH4" s="31">
        <v>0</v>
      </c>
      <c r="II4" s="31">
        <v>0</v>
      </c>
      <c r="IJ4" s="31">
        <v>0</v>
      </c>
      <c r="IK4" s="31">
        <v>0</v>
      </c>
      <c r="IL4" s="31">
        <v>0.15979272508999995</v>
      </c>
      <c r="IM4" s="31">
        <v>0.13171701677999995</v>
      </c>
      <c r="IN4" s="31">
        <v>0.16325921791999992</v>
      </c>
      <c r="IO4" s="31">
        <v>0</v>
      </c>
      <c r="IP4" s="31">
        <v>1.1636498543499991</v>
      </c>
      <c r="IQ4" s="31">
        <v>1.2911793220800007</v>
      </c>
      <c r="IR4" s="31">
        <v>1.0697552047499974</v>
      </c>
      <c r="IS4" s="31">
        <v>0.14668713611999987</v>
      </c>
      <c r="IT4" s="31">
        <v>0.2797073568399997</v>
      </c>
      <c r="IU4" s="31">
        <v>0</v>
      </c>
      <c r="IV4" s="31">
        <v>0</v>
      </c>
      <c r="IW4" s="31">
        <v>0</v>
      </c>
      <c r="IX4" s="31">
        <v>0</v>
      </c>
      <c r="IY4" s="31">
        <v>0</v>
      </c>
      <c r="IZ4" s="31">
        <v>0</v>
      </c>
      <c r="JA4" s="31">
        <v>0</v>
      </c>
      <c r="JB4" s="31">
        <v>6.9154365399999987E-2</v>
      </c>
      <c r="JC4" s="31">
        <v>0.60504997073000066</v>
      </c>
      <c r="JD4" s="31">
        <v>1.3525697343900001</v>
      </c>
      <c r="JE4" s="31">
        <v>0.32182191369000024</v>
      </c>
      <c r="JF4" s="31">
        <v>9.0337072309999891E-2</v>
      </c>
      <c r="JG4" s="31">
        <v>8.1266007620000011E-2</v>
      </c>
      <c r="JH4" s="31">
        <v>0.18604849954999997</v>
      </c>
      <c r="JI4" s="31">
        <v>0.36435599566000015</v>
      </c>
      <c r="JJ4" s="31">
        <v>0.13576584796999996</v>
      </c>
      <c r="JK4" s="31">
        <v>2.0299485570000001E-2</v>
      </c>
      <c r="JL4" s="31">
        <v>11.575099158979997</v>
      </c>
      <c r="JM4" s="31">
        <v>9.4360256820000002E-2</v>
      </c>
      <c r="JN4" s="31">
        <v>8.7250079021300024</v>
      </c>
      <c r="JO4" s="31">
        <v>0.86425912319999965</v>
      </c>
      <c r="JP4" s="31">
        <v>0.15776379107999997</v>
      </c>
      <c r="JQ4" s="31">
        <v>0.29485336784000005</v>
      </c>
      <c r="JR4" s="31">
        <v>0.18536465303999997</v>
      </c>
      <c r="JS4" s="31">
        <v>0</v>
      </c>
      <c r="JT4" s="31">
        <v>0</v>
      </c>
      <c r="JU4" s="31">
        <v>0</v>
      </c>
      <c r="JV4" s="31">
        <v>0</v>
      </c>
      <c r="JW4" s="31">
        <v>2.5595029158999982</v>
      </c>
      <c r="JX4" s="31">
        <v>0</v>
      </c>
      <c r="JY4" s="31">
        <v>0</v>
      </c>
      <c r="JZ4" s="31">
        <v>1.1232801086399991</v>
      </c>
      <c r="KA4" s="31">
        <v>0.11911479533999993</v>
      </c>
      <c r="KB4" s="31">
        <v>0.69798661617999924</v>
      </c>
      <c r="KC4" s="31">
        <v>0.89294143879999954</v>
      </c>
      <c r="KD4" s="31">
        <v>0.12523199859999989</v>
      </c>
      <c r="KE4" s="31">
        <v>1.9679866089999998E-2</v>
      </c>
      <c r="KF4" s="31">
        <v>0.28106522150999991</v>
      </c>
      <c r="KG4" s="31">
        <v>0.12787730484999996</v>
      </c>
      <c r="KH4" s="31">
        <v>0.16132724999000003</v>
      </c>
      <c r="KI4" s="31">
        <v>0</v>
      </c>
      <c r="KJ4" s="31">
        <v>0</v>
      </c>
      <c r="KK4" s="31">
        <v>0</v>
      </c>
      <c r="KL4" s="31">
        <v>0</v>
      </c>
      <c r="KM4" s="31">
        <v>0.17223070267000004</v>
      </c>
      <c r="KN4" s="31">
        <v>0.16616507186000004</v>
      </c>
      <c r="KO4" s="31">
        <v>3.9132844909999978E-2</v>
      </c>
      <c r="KP4" s="31">
        <v>0</v>
      </c>
      <c r="KQ4" s="31">
        <v>0</v>
      </c>
      <c r="KR4" s="31">
        <v>0</v>
      </c>
      <c r="KS4" s="31">
        <v>9.576424410000001E-3</v>
      </c>
      <c r="KT4" s="31">
        <v>0</v>
      </c>
      <c r="KU4" s="31">
        <v>0</v>
      </c>
      <c r="KV4" s="31">
        <v>0</v>
      </c>
      <c r="KW4" s="31">
        <v>0</v>
      </c>
      <c r="KX4" s="31">
        <v>0</v>
      </c>
      <c r="KY4" s="31">
        <v>0</v>
      </c>
      <c r="KZ4" s="31">
        <v>0.71029714487000295</v>
      </c>
      <c r="LA4" s="31">
        <v>0.2369889576499998</v>
      </c>
      <c r="LB4" s="31">
        <v>0.61717291106999994</v>
      </c>
      <c r="LC4" s="31">
        <v>0.31230703356000045</v>
      </c>
      <c r="LD4" s="31">
        <v>0.3446831950099995</v>
      </c>
      <c r="LE4" s="31">
        <v>0</v>
      </c>
      <c r="LF4" s="31">
        <v>0</v>
      </c>
      <c r="LG4" s="31">
        <v>0.10145544929000001</v>
      </c>
      <c r="LH4" s="31">
        <v>0.5176791137700002</v>
      </c>
      <c r="LI4" s="31">
        <v>0.86061554549999997</v>
      </c>
      <c r="LJ4" s="31">
        <v>9.6158097359999972E-2</v>
      </c>
      <c r="LK4" s="31">
        <v>0.10393097839000001</v>
      </c>
      <c r="LL4" s="31">
        <v>0</v>
      </c>
      <c r="LM4" s="31">
        <v>0.51840114843999996</v>
      </c>
      <c r="LN4" s="31">
        <v>3.4369632396000043</v>
      </c>
      <c r="LO4" s="31">
        <v>1.1471261924999985</v>
      </c>
      <c r="LP4" s="31">
        <v>1.9191969952399972</v>
      </c>
      <c r="LQ4" s="31">
        <v>0</v>
      </c>
      <c r="LR4" s="31">
        <v>0</v>
      </c>
      <c r="LS4" s="31">
        <v>0.18612611214000008</v>
      </c>
      <c r="LT4" s="31">
        <v>0</v>
      </c>
      <c r="LU4" s="31">
        <v>0</v>
      </c>
      <c r="LV4" s="31">
        <v>0</v>
      </c>
      <c r="LW4" s="31">
        <v>0</v>
      </c>
      <c r="LX4" s="31">
        <v>0.13906402198999993</v>
      </c>
      <c r="LY4" s="31">
        <v>2.3535586345899953</v>
      </c>
      <c r="LZ4" s="31">
        <v>6.9140313880000012E-2</v>
      </c>
      <c r="MA4" s="31">
        <v>0.29109173604000005</v>
      </c>
      <c r="MB4" s="31">
        <v>8.1347003530000017E-2</v>
      </c>
      <c r="MC4" s="31">
        <v>0</v>
      </c>
      <c r="MD4" s="31">
        <v>0.31256946058000012</v>
      </c>
      <c r="ME4" s="31">
        <v>0.20922593537999987</v>
      </c>
      <c r="MF4" s="31">
        <v>2.5648659249999997E-2</v>
      </c>
      <c r="MG4" s="31">
        <v>0.10184949925</v>
      </c>
      <c r="MH4" s="31">
        <v>0</v>
      </c>
      <c r="MI4" s="31">
        <v>0</v>
      </c>
      <c r="MJ4" s="31">
        <v>2.1820120770000003E-2</v>
      </c>
      <c r="MK4" s="31">
        <v>0.30106929659000042</v>
      </c>
      <c r="ML4" s="31">
        <v>0.15415821808999988</v>
      </c>
      <c r="MM4" s="31">
        <v>0.57876427367000038</v>
      </c>
      <c r="MN4" s="31">
        <v>0.45400726233000005</v>
      </c>
      <c r="MO4" s="31">
        <v>0</v>
      </c>
      <c r="MP4" s="31">
        <v>0.53393053906000065</v>
      </c>
      <c r="MQ4" s="31">
        <v>0</v>
      </c>
      <c r="MR4" s="31">
        <v>0</v>
      </c>
      <c r="MS4" s="31">
        <v>0.77801518249999857</v>
      </c>
      <c r="MT4" s="31">
        <v>0.1935807526800003</v>
      </c>
      <c r="MU4" s="31">
        <v>0</v>
      </c>
      <c r="MV4" s="31">
        <v>0.35696650766999977</v>
      </c>
      <c r="MW4" s="31">
        <v>0.63660581462000121</v>
      </c>
      <c r="MX4" s="31">
        <v>0.4626109167400006</v>
      </c>
      <c r="MY4" s="31">
        <v>0</v>
      </c>
      <c r="MZ4" s="31">
        <v>0</v>
      </c>
      <c r="NA4" s="31">
        <v>0</v>
      </c>
      <c r="NB4" s="31">
        <v>0</v>
      </c>
      <c r="NC4" s="31">
        <v>0</v>
      </c>
      <c r="ND4" s="31">
        <v>0.12779815564000008</v>
      </c>
      <c r="NE4" s="31">
        <v>0</v>
      </c>
      <c r="NF4" s="31">
        <v>0</v>
      </c>
      <c r="NG4" s="31">
        <v>0.28265328613999979</v>
      </c>
      <c r="NH4" s="31">
        <v>0.53268741946999987</v>
      </c>
      <c r="NI4" s="31">
        <v>0.87878270845999873</v>
      </c>
      <c r="NJ4" s="31">
        <v>3.108657099000002E-2</v>
      </c>
      <c r="NK4" s="31">
        <v>1.1273636186699985</v>
      </c>
      <c r="NL4" s="31">
        <v>0</v>
      </c>
      <c r="NM4" s="31">
        <v>0.15979272508999995</v>
      </c>
      <c r="NN4" s="31">
        <v>0</v>
      </c>
      <c r="NO4" s="31">
        <v>0</v>
      </c>
      <c r="NP4" s="31">
        <v>7.6999481570000014E-2</v>
      </c>
      <c r="NQ4" s="31">
        <v>8.6259736349999935E-2</v>
      </c>
      <c r="NR4" s="31">
        <v>0</v>
      </c>
      <c r="NS4" s="31">
        <v>1.1636498543499991</v>
      </c>
      <c r="NT4" s="31">
        <v>1.2911793220800007</v>
      </c>
      <c r="NU4" s="31">
        <v>1.0697552047499974</v>
      </c>
      <c r="NV4" s="31">
        <v>0.14668713611999987</v>
      </c>
      <c r="NW4" s="31">
        <v>0.15761888491999979</v>
      </c>
    </row>
    <row r="5" spans="1:387">
      <c r="A5" s="31" t="s">
        <v>390</v>
      </c>
      <c r="B5" s="31"/>
      <c r="C5" s="31"/>
      <c r="D5" s="31"/>
      <c r="E5" s="31"/>
      <c r="F5" s="31"/>
      <c r="G5" s="31"/>
      <c r="H5" s="31"/>
      <c r="I5" s="31"/>
      <c r="J5" s="31"/>
      <c r="K5" s="31"/>
      <c r="L5" s="31"/>
      <c r="M5" s="31"/>
      <c r="N5" s="31"/>
      <c r="O5" s="31"/>
      <c r="P5" s="31"/>
      <c r="Q5" s="31"/>
      <c r="R5" s="31"/>
      <c r="S5" s="31">
        <v>91.006483929940103</v>
      </c>
      <c r="T5" s="31">
        <v>12.476241759409989</v>
      </c>
      <c r="U5" s="31">
        <v>1.6387950821000012</v>
      </c>
      <c r="V5" s="31">
        <v>3.9522357594199975</v>
      </c>
      <c r="W5" s="31">
        <v>30.695963744879897</v>
      </c>
      <c r="X5" s="31">
        <v>3.7904298965600089</v>
      </c>
      <c r="Y5" s="31">
        <v>2.8382614892499922</v>
      </c>
      <c r="Z5" s="31">
        <v>11.722143370110008</v>
      </c>
      <c r="AA5" s="31">
        <v>2.8222615779900053</v>
      </c>
      <c r="AB5" s="31">
        <v>9.1868449858799917</v>
      </c>
      <c r="AC5" s="31">
        <v>0.7275388833800005</v>
      </c>
      <c r="AD5" s="31">
        <v>3.6090660361200033</v>
      </c>
      <c r="AE5" s="31">
        <v>11.219449994009997</v>
      </c>
      <c r="AF5" s="31">
        <v>7.546694484800005</v>
      </c>
      <c r="AG5" s="31">
        <v>1.2567892210000002</v>
      </c>
      <c r="AH5" s="31">
        <v>0.84842801365999809</v>
      </c>
      <c r="AI5" s="31">
        <v>0.7903690748799993</v>
      </c>
      <c r="AJ5" s="31">
        <v>0</v>
      </c>
      <c r="AK5" s="31">
        <v>3.0847954428600048</v>
      </c>
      <c r="AL5" s="31">
        <v>0.86743194097999921</v>
      </c>
      <c r="AM5" s="31">
        <v>11.237218013480005</v>
      </c>
      <c r="AN5" s="31">
        <v>10.592062067479986</v>
      </c>
      <c r="AO5" s="31">
        <v>0.69523444709000037</v>
      </c>
      <c r="AP5" s="31">
        <v>0</v>
      </c>
      <c r="AQ5" s="31">
        <v>6.0451309689399935</v>
      </c>
      <c r="AR5" s="31">
        <v>1.2753268544300003</v>
      </c>
      <c r="AS5" s="31">
        <v>0.34979698736999992</v>
      </c>
      <c r="AT5" s="31">
        <v>0.70170495165999824</v>
      </c>
      <c r="AU5" s="31">
        <v>0.27267201344999986</v>
      </c>
      <c r="AV5" s="31">
        <v>0.52903779623000047</v>
      </c>
      <c r="AW5" s="31">
        <v>0.55768792084000074</v>
      </c>
      <c r="AX5" s="31">
        <v>1.7799228871300008</v>
      </c>
      <c r="AY5" s="31">
        <v>0.93935631492999827</v>
      </c>
      <c r="AZ5" s="31">
        <v>0.11007894652999992</v>
      </c>
      <c r="BA5" s="31">
        <v>3.0984092120900013</v>
      </c>
      <c r="BB5" s="31">
        <v>7.9395682439899824</v>
      </c>
      <c r="BC5" s="31">
        <v>1.2299419961300009</v>
      </c>
      <c r="BD5" s="31">
        <v>0.21565228197999983</v>
      </c>
      <c r="BE5" s="31">
        <v>0.12562721819999989</v>
      </c>
      <c r="BF5" s="31">
        <v>2.4809830151600076</v>
      </c>
      <c r="BG5" s="31">
        <v>1.2564230009400008</v>
      </c>
      <c r="BH5" s="31">
        <v>0.15348238116999999</v>
      </c>
      <c r="BI5" s="31">
        <v>1.778183550869999</v>
      </c>
      <c r="BJ5" s="31">
        <v>2.1171376172900049</v>
      </c>
      <c r="BK5" s="31">
        <v>1.6719417451000014</v>
      </c>
      <c r="BL5" s="31">
        <v>2.2096859783099982</v>
      </c>
      <c r="BM5" s="31">
        <v>0</v>
      </c>
      <c r="BN5" s="31">
        <v>0</v>
      </c>
      <c r="BO5" s="31">
        <v>0</v>
      </c>
      <c r="BP5" s="31">
        <v>0</v>
      </c>
      <c r="BQ5" s="31">
        <v>0.16279884017999999</v>
      </c>
      <c r="BR5" s="31">
        <v>2.9389747776200061</v>
      </c>
      <c r="BS5" s="31">
        <v>0</v>
      </c>
      <c r="BT5" s="31">
        <v>0.67009053234999982</v>
      </c>
      <c r="BU5" s="31">
        <v>0</v>
      </c>
      <c r="BV5" s="31">
        <v>0</v>
      </c>
      <c r="BW5" s="31">
        <v>0</v>
      </c>
      <c r="BX5" s="31">
        <v>0</v>
      </c>
      <c r="BY5" s="31">
        <v>0</v>
      </c>
      <c r="BZ5" s="31">
        <v>0</v>
      </c>
      <c r="CA5" s="31">
        <v>0</v>
      </c>
      <c r="CB5" s="31">
        <v>0</v>
      </c>
      <c r="CC5" s="31">
        <v>2.222259856280004</v>
      </c>
      <c r="CD5" s="31">
        <v>0</v>
      </c>
      <c r="CE5" s="31">
        <v>0</v>
      </c>
      <c r="CF5" s="31">
        <v>0</v>
      </c>
      <c r="CG5" s="31">
        <v>0.38545549968000009</v>
      </c>
      <c r="CH5" s="31">
        <v>0.22778176267999981</v>
      </c>
      <c r="CI5" s="31">
        <v>4.1119151639599982</v>
      </c>
      <c r="CJ5" s="31">
        <v>0.17762505014999985</v>
      </c>
      <c r="CK5" s="31">
        <v>0.38396543256000043</v>
      </c>
      <c r="CL5" s="31">
        <v>0</v>
      </c>
      <c r="CM5" s="31">
        <v>0</v>
      </c>
      <c r="CN5" s="31">
        <v>0</v>
      </c>
      <c r="CO5" s="31">
        <v>0</v>
      </c>
      <c r="CP5" s="31">
        <v>0</v>
      </c>
      <c r="CQ5" s="31">
        <v>7.5706104109999908E-2</v>
      </c>
      <c r="CR5" s="31">
        <v>2.8259034844800017</v>
      </c>
      <c r="CS5" s="31">
        <v>9.9081199730000138E-2</v>
      </c>
      <c r="CT5" s="31">
        <v>8.4107707680000005E-2</v>
      </c>
      <c r="CU5" s="31">
        <v>0.82483966799999919</v>
      </c>
      <c r="CV5" s="31">
        <v>2.5244283509999993E-2</v>
      </c>
      <c r="CW5" s="31">
        <v>11.097781816260007</v>
      </c>
      <c r="CX5" s="31">
        <v>0.13943596893999993</v>
      </c>
      <c r="CY5" s="31">
        <v>9.6348066217400063</v>
      </c>
      <c r="CZ5" s="31">
        <v>0.95725521636000022</v>
      </c>
      <c r="DA5" s="31">
        <v>0.37734554691000005</v>
      </c>
      <c r="DB5" s="31">
        <v>0.31788863093000014</v>
      </c>
      <c r="DC5" s="31">
        <v>0</v>
      </c>
      <c r="DD5" s="31">
        <v>0</v>
      </c>
      <c r="DE5" s="31">
        <v>0</v>
      </c>
      <c r="DF5" s="31">
        <v>0</v>
      </c>
      <c r="DG5" s="31">
        <v>2.4816506277999975</v>
      </c>
      <c r="DH5" s="31">
        <v>1.5156040424500015</v>
      </c>
      <c r="DI5" s="31">
        <v>1.2901699061000012</v>
      </c>
      <c r="DJ5" s="31">
        <v>0.11371143069000003</v>
      </c>
      <c r="DK5" s="31">
        <v>0.64398458390999969</v>
      </c>
      <c r="DL5" s="31">
        <v>1.0655140272800003</v>
      </c>
      <c r="DM5" s="31">
        <v>0.16317444439999998</v>
      </c>
      <c r="DN5" s="31">
        <v>4.6638491560000002E-2</v>
      </c>
      <c r="DO5" s="31">
        <v>0.34979698736999992</v>
      </c>
      <c r="DP5" s="31">
        <v>0.46102825824999966</v>
      </c>
      <c r="DQ5" s="31">
        <v>0.19141927180000012</v>
      </c>
      <c r="DR5" s="31">
        <v>4.9256627479999947E-2</v>
      </c>
      <c r="DS5" s="31">
        <v>8.3925677800000004E-3</v>
      </c>
      <c r="DT5" s="31">
        <v>0</v>
      </c>
      <c r="DU5" s="31">
        <v>0</v>
      </c>
      <c r="DV5" s="31">
        <v>0.38523431034000061</v>
      </c>
      <c r="DW5" s="31">
        <v>0.17245504983999971</v>
      </c>
      <c r="DX5" s="31">
        <v>0.83443983740000083</v>
      </c>
      <c r="DY5" s="31">
        <v>0.25062134963000016</v>
      </c>
      <c r="DZ5" s="31">
        <v>0.69486252775000013</v>
      </c>
      <c r="EA5" s="31">
        <v>0.41244995272999979</v>
      </c>
      <c r="EB5" s="31">
        <v>0.37379205621999995</v>
      </c>
      <c r="EC5" s="31">
        <v>0.15309973199999988</v>
      </c>
      <c r="ED5" s="31">
        <v>2.5537212804800005</v>
      </c>
      <c r="EE5" s="31">
        <v>0.12758660934999999</v>
      </c>
      <c r="EF5" s="31">
        <v>0.16384832373</v>
      </c>
      <c r="EG5" s="31">
        <v>7.7072049000000001E-4</v>
      </c>
      <c r="EH5" s="31">
        <v>0.61282063419000077</v>
      </c>
      <c r="EI5" s="31">
        <v>3.956939378260008</v>
      </c>
      <c r="EJ5" s="31">
        <v>1.3054494693000041</v>
      </c>
      <c r="EK5" s="31">
        <v>2.0643644789499995</v>
      </c>
      <c r="EL5" s="31">
        <v>0</v>
      </c>
      <c r="EM5" s="31">
        <v>0</v>
      </c>
      <c r="EN5" s="31">
        <v>0.2402030907400001</v>
      </c>
      <c r="EO5" s="31">
        <v>0</v>
      </c>
      <c r="EP5" s="31">
        <v>0</v>
      </c>
      <c r="EQ5" s="31">
        <v>0</v>
      </c>
      <c r="ER5" s="31">
        <v>0.21565228197999983</v>
      </c>
      <c r="ES5" s="31">
        <v>0.12562721819999989</v>
      </c>
      <c r="ET5" s="31">
        <v>2.4809830151600076</v>
      </c>
      <c r="EU5" s="31">
        <v>0.43636729240000005</v>
      </c>
      <c r="EV5" s="31">
        <v>0.11003504069000006</v>
      </c>
      <c r="EW5" s="31">
        <v>0.41586761677999967</v>
      </c>
      <c r="EX5" s="31">
        <v>0.2614520409000004</v>
      </c>
      <c r="EY5" s="31">
        <v>3.2696674849999996E-2</v>
      </c>
      <c r="EZ5" s="31">
        <v>0.12242471750000002</v>
      </c>
      <c r="FA5" s="31">
        <v>0</v>
      </c>
      <c r="FB5" s="31">
        <v>3.1057593510000005E-2</v>
      </c>
      <c r="FC5" s="31">
        <v>0.36900940386000014</v>
      </c>
      <c r="FD5" s="31">
        <v>0.17743809553999976</v>
      </c>
      <c r="FE5" s="31">
        <v>0.6815290593900023</v>
      </c>
      <c r="FF5" s="31">
        <v>0.55021117200999992</v>
      </c>
      <c r="FG5" s="31">
        <v>0</v>
      </c>
      <c r="FH5" s="31">
        <v>0.5956002148399997</v>
      </c>
      <c r="FI5" s="31">
        <v>1.0069761972399993</v>
      </c>
      <c r="FJ5" s="31">
        <v>0</v>
      </c>
      <c r="FK5" s="31">
        <v>0.44266707526000065</v>
      </c>
      <c r="FL5" s="31">
        <v>0.70136656864999813</v>
      </c>
      <c r="FM5" s="31">
        <v>0.52791091323999983</v>
      </c>
      <c r="FN5" s="31">
        <v>0</v>
      </c>
      <c r="FO5" s="31">
        <v>0</v>
      </c>
      <c r="FP5" s="31">
        <v>0</v>
      </c>
      <c r="FQ5" s="31">
        <v>0</v>
      </c>
      <c r="FR5" s="31">
        <v>0</v>
      </c>
      <c r="FS5" s="31">
        <v>0.16279884017999999</v>
      </c>
      <c r="FT5" s="31">
        <v>2.6460946186300096</v>
      </c>
      <c r="FU5" s="31">
        <v>0</v>
      </c>
      <c r="FV5" s="31">
        <v>0.29288024678000019</v>
      </c>
      <c r="FW5" s="31">
        <v>0</v>
      </c>
      <c r="FX5" s="31">
        <v>0</v>
      </c>
      <c r="FY5" s="31">
        <v>0</v>
      </c>
      <c r="FZ5" s="31">
        <v>0</v>
      </c>
      <c r="GA5" s="31">
        <v>0</v>
      </c>
      <c r="GB5" s="31">
        <v>0.67009053234999982</v>
      </c>
      <c r="GC5" s="31">
        <v>0</v>
      </c>
      <c r="GD5" s="31">
        <v>0</v>
      </c>
      <c r="GE5" s="31">
        <v>0</v>
      </c>
      <c r="GF5" s="31">
        <v>0</v>
      </c>
      <c r="GG5" s="31">
        <v>0</v>
      </c>
      <c r="GH5" s="31">
        <v>0</v>
      </c>
      <c r="GI5" s="31">
        <v>0</v>
      </c>
      <c r="GJ5" s="31">
        <v>0</v>
      </c>
      <c r="GK5" s="31">
        <v>0</v>
      </c>
      <c r="GL5" s="31">
        <v>0</v>
      </c>
      <c r="GM5" s="31">
        <v>0</v>
      </c>
      <c r="GN5" s="31">
        <v>0</v>
      </c>
      <c r="GO5" s="31">
        <v>0</v>
      </c>
      <c r="GP5" s="31">
        <v>0</v>
      </c>
      <c r="GQ5" s="31">
        <v>0</v>
      </c>
      <c r="GR5" s="31">
        <v>0</v>
      </c>
      <c r="GS5" s="31">
        <v>0</v>
      </c>
      <c r="GT5" s="31">
        <v>0</v>
      </c>
      <c r="GU5" s="31">
        <v>0</v>
      </c>
      <c r="GV5" s="31">
        <v>0</v>
      </c>
      <c r="GW5" s="31">
        <v>0</v>
      </c>
      <c r="GX5" s="31">
        <v>0</v>
      </c>
      <c r="GY5" s="31">
        <v>0</v>
      </c>
      <c r="GZ5" s="31">
        <v>0</v>
      </c>
      <c r="HA5" s="31">
        <v>0</v>
      </c>
      <c r="HB5" s="31">
        <v>0</v>
      </c>
      <c r="HC5" s="31">
        <v>0</v>
      </c>
      <c r="HD5" s="31">
        <v>0</v>
      </c>
      <c r="HE5" s="31">
        <v>0</v>
      </c>
      <c r="HF5" s="31">
        <v>0</v>
      </c>
      <c r="HG5" s="31">
        <v>0</v>
      </c>
      <c r="HH5" s="31">
        <v>0</v>
      </c>
      <c r="HI5" s="31">
        <v>0</v>
      </c>
      <c r="HJ5" s="31">
        <v>0</v>
      </c>
      <c r="HK5" s="31">
        <v>0</v>
      </c>
      <c r="HL5" s="31">
        <v>0</v>
      </c>
      <c r="HM5" s="31">
        <v>0</v>
      </c>
      <c r="HN5" s="31">
        <v>0</v>
      </c>
      <c r="HO5" s="31">
        <v>0</v>
      </c>
      <c r="HP5" s="31">
        <v>0</v>
      </c>
      <c r="HQ5" s="31">
        <v>0</v>
      </c>
      <c r="HR5" s="31">
        <v>0</v>
      </c>
      <c r="HS5" s="31">
        <v>0</v>
      </c>
      <c r="HT5" s="31">
        <v>0</v>
      </c>
      <c r="HU5" s="31">
        <v>0</v>
      </c>
      <c r="HV5" s="31">
        <v>0</v>
      </c>
      <c r="HW5" s="31">
        <v>0</v>
      </c>
      <c r="HX5" s="31">
        <v>0</v>
      </c>
      <c r="HY5" s="31">
        <v>0</v>
      </c>
      <c r="HZ5" s="31">
        <v>0</v>
      </c>
      <c r="IA5" s="31">
        <v>0.98263671195000213</v>
      </c>
      <c r="IB5" s="31">
        <v>0</v>
      </c>
      <c r="IC5" s="31">
        <v>3.2323247610000022E-2</v>
      </c>
      <c r="ID5" s="31">
        <v>0</v>
      </c>
      <c r="IE5" s="31">
        <v>1.2072922820700016</v>
      </c>
      <c r="IF5" s="31">
        <v>0</v>
      </c>
      <c r="IG5" s="31">
        <v>0</v>
      </c>
      <c r="IH5" s="31">
        <v>0</v>
      </c>
      <c r="II5" s="31">
        <v>0</v>
      </c>
      <c r="IJ5" s="31">
        <v>0</v>
      </c>
      <c r="IK5" s="31">
        <v>0</v>
      </c>
      <c r="IL5" s="31">
        <v>0.21321055903000005</v>
      </c>
      <c r="IM5" s="31">
        <v>0.17224359929999994</v>
      </c>
      <c r="IN5" s="31">
        <v>0.22778176267999981</v>
      </c>
      <c r="IO5" s="31">
        <v>0</v>
      </c>
      <c r="IP5" s="31">
        <v>1.3518181387799986</v>
      </c>
      <c r="IQ5" s="31">
        <v>1.4304379579399993</v>
      </c>
      <c r="IR5" s="31">
        <v>1.3296557592000018</v>
      </c>
      <c r="IS5" s="31">
        <v>0.17762505014999985</v>
      </c>
      <c r="IT5" s="31">
        <v>0.38396543256000043</v>
      </c>
      <c r="IU5" s="31">
        <v>0</v>
      </c>
      <c r="IV5" s="31">
        <v>0</v>
      </c>
      <c r="IW5" s="31">
        <v>0</v>
      </c>
      <c r="IX5" s="31">
        <v>0</v>
      </c>
      <c r="IY5" s="31">
        <v>0</v>
      </c>
      <c r="IZ5" s="31">
        <v>0</v>
      </c>
      <c r="JA5" s="31">
        <v>0</v>
      </c>
      <c r="JB5" s="31">
        <v>7.5706104109999908E-2</v>
      </c>
      <c r="JC5" s="31">
        <v>0.74644105665999994</v>
      </c>
      <c r="JD5" s="31">
        <v>1.6020213875699978</v>
      </c>
      <c r="JE5" s="31">
        <v>0.35667389720000064</v>
      </c>
      <c r="JF5" s="31">
        <v>9.9081199730000138E-2</v>
      </c>
      <c r="JG5" s="31">
        <v>8.4107707680000005E-2</v>
      </c>
      <c r="JH5" s="31">
        <v>0.24224175894000013</v>
      </c>
      <c r="JI5" s="31">
        <v>0.43662871310999934</v>
      </c>
      <c r="JJ5" s="31">
        <v>0.14596221036999987</v>
      </c>
      <c r="JK5" s="31">
        <v>2.5244283509999993E-2</v>
      </c>
      <c r="JL5" s="31">
        <v>11.097781816260007</v>
      </c>
      <c r="JM5" s="31">
        <v>0.13943596893999993</v>
      </c>
      <c r="JN5" s="31">
        <v>9.6348066217400063</v>
      </c>
      <c r="JO5" s="31">
        <v>0.74773317273999951</v>
      </c>
      <c r="JP5" s="31">
        <v>0.20952204362000001</v>
      </c>
      <c r="JQ5" s="31">
        <v>0.37734554691000005</v>
      </c>
      <c r="JR5" s="31">
        <v>0.31788863093000014</v>
      </c>
      <c r="JS5" s="31">
        <v>0</v>
      </c>
      <c r="JT5" s="31">
        <v>0</v>
      </c>
      <c r="JU5" s="31">
        <v>0</v>
      </c>
      <c r="JV5" s="31">
        <v>0</v>
      </c>
      <c r="JW5" s="31">
        <v>2.4816506277999975</v>
      </c>
      <c r="JX5" s="31">
        <v>0</v>
      </c>
      <c r="JY5" s="31">
        <v>0</v>
      </c>
      <c r="JZ5" s="31">
        <v>1.2901699061000012</v>
      </c>
      <c r="KA5" s="31">
        <v>0.11371143069000003</v>
      </c>
      <c r="KB5" s="31">
        <v>0.64398458390999969</v>
      </c>
      <c r="KC5" s="31">
        <v>1.0655140272800003</v>
      </c>
      <c r="KD5" s="31">
        <v>0.16317444439999998</v>
      </c>
      <c r="KE5" s="31">
        <v>4.6638491560000002E-2</v>
      </c>
      <c r="KF5" s="31">
        <v>0.34979698736999992</v>
      </c>
      <c r="KG5" s="31">
        <v>0.12249989421000003</v>
      </c>
      <c r="KH5" s="31">
        <v>0.17737734911999994</v>
      </c>
      <c r="KI5" s="31">
        <v>0</v>
      </c>
      <c r="KJ5" s="31">
        <v>0</v>
      </c>
      <c r="KK5" s="31">
        <v>0</v>
      </c>
      <c r="KL5" s="31">
        <v>0</v>
      </c>
      <c r="KM5" s="31">
        <v>0.15065399225000006</v>
      </c>
      <c r="KN5" s="31">
        <v>0.19141927180000012</v>
      </c>
      <c r="KO5" s="31">
        <v>4.9256627479999947E-2</v>
      </c>
      <c r="KP5" s="31">
        <v>0</v>
      </c>
      <c r="KQ5" s="31">
        <v>0</v>
      </c>
      <c r="KR5" s="31">
        <v>0</v>
      </c>
      <c r="KS5" s="31">
        <v>8.3925677800000004E-3</v>
      </c>
      <c r="KT5" s="31">
        <v>0</v>
      </c>
      <c r="KU5" s="31">
        <v>0</v>
      </c>
      <c r="KV5" s="31">
        <v>0</v>
      </c>
      <c r="KW5" s="31">
        <v>0</v>
      </c>
      <c r="KX5" s="31">
        <v>0</v>
      </c>
      <c r="KY5" s="31">
        <v>0</v>
      </c>
      <c r="KZ5" s="31">
        <v>0.83443983740000083</v>
      </c>
      <c r="LA5" s="31">
        <v>0.25062134963000016</v>
      </c>
      <c r="LB5" s="31">
        <v>0.69486252775000013</v>
      </c>
      <c r="LC5" s="31">
        <v>0.41244995272999979</v>
      </c>
      <c r="LD5" s="31">
        <v>0.37379205621999995</v>
      </c>
      <c r="LE5" s="31">
        <v>0</v>
      </c>
      <c r="LF5" s="31">
        <v>0</v>
      </c>
      <c r="LG5" s="31">
        <v>0.15309973199999988</v>
      </c>
      <c r="LH5" s="31">
        <v>1.0974891100299999</v>
      </c>
      <c r="LI5" s="31">
        <v>1.4562321704499996</v>
      </c>
      <c r="LJ5" s="31">
        <v>0.12758660934999999</v>
      </c>
      <c r="LK5" s="31">
        <v>0.16384832373</v>
      </c>
      <c r="LL5" s="31">
        <v>7.7072049000000001E-4</v>
      </c>
      <c r="LM5" s="31">
        <v>0.61282063419000077</v>
      </c>
      <c r="LN5" s="31">
        <v>3.956939378260008</v>
      </c>
      <c r="LO5" s="31">
        <v>1.3054494693000041</v>
      </c>
      <c r="LP5" s="31">
        <v>2.0643644789499995</v>
      </c>
      <c r="LQ5" s="31">
        <v>0</v>
      </c>
      <c r="LR5" s="31">
        <v>0</v>
      </c>
      <c r="LS5" s="31">
        <v>0.2402030907400001</v>
      </c>
      <c r="LT5" s="31">
        <v>0</v>
      </c>
      <c r="LU5" s="31">
        <v>0</v>
      </c>
      <c r="LV5" s="31">
        <v>0</v>
      </c>
      <c r="LW5" s="31">
        <v>0</v>
      </c>
      <c r="LX5" s="31">
        <v>0.12562721819999989</v>
      </c>
      <c r="LY5" s="31">
        <v>2.4809830151600076</v>
      </c>
      <c r="LZ5" s="31">
        <v>0.10111604897999998</v>
      </c>
      <c r="MA5" s="31">
        <v>0.33525121819999987</v>
      </c>
      <c r="MB5" s="31">
        <v>0.11003504069000006</v>
      </c>
      <c r="MC5" s="31">
        <v>0</v>
      </c>
      <c r="MD5" s="31">
        <v>0.41586761677999967</v>
      </c>
      <c r="ME5" s="31">
        <v>0.2614520409000004</v>
      </c>
      <c r="MF5" s="31">
        <v>3.2696674849999996E-2</v>
      </c>
      <c r="MG5" s="31">
        <v>0.12242471750000002</v>
      </c>
      <c r="MH5" s="31">
        <v>0</v>
      </c>
      <c r="MI5" s="31">
        <v>0</v>
      </c>
      <c r="MJ5" s="31">
        <v>3.1057593510000005E-2</v>
      </c>
      <c r="MK5" s="31">
        <v>0.36900940386000014</v>
      </c>
      <c r="ML5" s="31">
        <v>0.17743809553999976</v>
      </c>
      <c r="MM5" s="31">
        <v>0.6815290593900023</v>
      </c>
      <c r="MN5" s="31">
        <v>0.55021117200999992</v>
      </c>
      <c r="MO5" s="31">
        <v>0</v>
      </c>
      <c r="MP5" s="31">
        <v>0.5956002148399997</v>
      </c>
      <c r="MQ5" s="31">
        <v>0</v>
      </c>
      <c r="MR5" s="31">
        <v>0</v>
      </c>
      <c r="MS5" s="31">
        <v>0.8122162410499989</v>
      </c>
      <c r="MT5" s="31">
        <v>0.19477455525999979</v>
      </c>
      <c r="MU5" s="31">
        <v>0</v>
      </c>
      <c r="MV5" s="31">
        <v>0.44266707526000065</v>
      </c>
      <c r="MW5" s="31">
        <v>0.70136656864999813</v>
      </c>
      <c r="MX5" s="31">
        <v>0.52791091323999983</v>
      </c>
      <c r="MY5" s="31">
        <v>0</v>
      </c>
      <c r="MZ5" s="31">
        <v>0</v>
      </c>
      <c r="NA5" s="31">
        <v>0</v>
      </c>
      <c r="NB5" s="31">
        <v>0</v>
      </c>
      <c r="NC5" s="31">
        <v>0</v>
      </c>
      <c r="ND5" s="31">
        <v>0.16279884017999999</v>
      </c>
      <c r="NE5" s="31">
        <v>0</v>
      </c>
      <c r="NF5" s="31">
        <v>0</v>
      </c>
      <c r="NG5" s="31">
        <v>0.29288024678000019</v>
      </c>
      <c r="NH5" s="31">
        <v>0.67009053234999982</v>
      </c>
      <c r="NI5" s="31">
        <v>0.98263671195000213</v>
      </c>
      <c r="NJ5" s="31">
        <v>3.2323247610000022E-2</v>
      </c>
      <c r="NK5" s="31">
        <v>1.2072922820700016</v>
      </c>
      <c r="NL5" s="31">
        <v>0</v>
      </c>
      <c r="NM5" s="31">
        <v>0.21321055903000005</v>
      </c>
      <c r="NN5" s="31">
        <v>0</v>
      </c>
      <c r="NO5" s="31">
        <v>0</v>
      </c>
      <c r="NP5" s="31">
        <v>0.11577316524000003</v>
      </c>
      <c r="NQ5" s="31">
        <v>0.11200859744</v>
      </c>
      <c r="NR5" s="31">
        <v>0</v>
      </c>
      <c r="NS5" s="31">
        <v>1.3518181387799986</v>
      </c>
      <c r="NT5" s="31">
        <v>1.4304379579399993</v>
      </c>
      <c r="NU5" s="31">
        <v>1.3296557592000018</v>
      </c>
      <c r="NV5" s="31">
        <v>0.17762505014999985</v>
      </c>
      <c r="NW5" s="31">
        <v>0.13647965834</v>
      </c>
    </row>
    <row r="6" spans="1:387">
      <c r="A6" s="31" t="s">
        <v>391</v>
      </c>
      <c r="B6" s="31"/>
      <c r="C6" s="31"/>
      <c r="D6" s="31"/>
      <c r="E6" s="31"/>
      <c r="F6" s="31"/>
      <c r="G6" s="31"/>
      <c r="H6" s="31"/>
      <c r="I6" s="31"/>
      <c r="J6" s="31"/>
      <c r="K6" s="31"/>
      <c r="L6" s="31"/>
      <c r="M6" s="31"/>
      <c r="N6" s="31"/>
      <c r="O6" s="31"/>
      <c r="P6" s="31"/>
      <c r="Q6" s="31"/>
      <c r="R6" s="31"/>
      <c r="S6" s="31">
        <v>97.668000309950045</v>
      </c>
      <c r="T6" s="31">
        <v>12.964258188380022</v>
      </c>
      <c r="U6" s="31">
        <v>1.7824674872299975</v>
      </c>
      <c r="V6" s="31">
        <v>4.3126343704799925</v>
      </c>
      <c r="W6" s="31">
        <v>32.006102360739909</v>
      </c>
      <c r="X6" s="31">
        <v>4.3908359961599954</v>
      </c>
      <c r="Y6" s="31">
        <v>2.970130130440011</v>
      </c>
      <c r="Z6" s="31">
        <v>12.845514198739988</v>
      </c>
      <c r="AA6" s="31">
        <v>2.9191700835599979</v>
      </c>
      <c r="AB6" s="31">
        <v>9.8801185690600324</v>
      </c>
      <c r="AC6" s="31">
        <v>0.86747610547999965</v>
      </c>
      <c r="AD6" s="31">
        <v>4.2020813453100043</v>
      </c>
      <c r="AE6" s="31">
        <v>11.618340100790009</v>
      </c>
      <c r="AF6" s="31">
        <v>8.5272031085799807</v>
      </c>
      <c r="AG6" s="31">
        <v>1.3459227809199941</v>
      </c>
      <c r="AH6" s="31">
        <v>0.93709084230000117</v>
      </c>
      <c r="AI6" s="31">
        <v>0.84537623389999839</v>
      </c>
      <c r="AJ6" s="31">
        <v>0</v>
      </c>
      <c r="AK6" s="31">
        <v>3.4020501097899944</v>
      </c>
      <c r="AL6" s="31">
        <v>0.91058114085000019</v>
      </c>
      <c r="AM6" s="31">
        <v>10.396120602100018</v>
      </c>
      <c r="AN6" s="31">
        <v>12.028628378310009</v>
      </c>
      <c r="AO6" s="31">
        <v>0.896829374449999</v>
      </c>
      <c r="AP6" s="31">
        <v>0</v>
      </c>
      <c r="AQ6" s="31">
        <v>6.243634050780007</v>
      </c>
      <c r="AR6" s="31">
        <v>1.6890292787900008</v>
      </c>
      <c r="AS6" s="31">
        <v>0.35659540687000058</v>
      </c>
      <c r="AT6" s="31">
        <v>0.77247622904999724</v>
      </c>
      <c r="AU6" s="31">
        <v>0.30108862828999983</v>
      </c>
      <c r="AV6" s="31">
        <v>0.53597995657999953</v>
      </c>
      <c r="AW6" s="31">
        <v>0.54599575260000077</v>
      </c>
      <c r="AX6" s="31">
        <v>1.8424743331699953</v>
      </c>
      <c r="AY6" s="31">
        <v>1.0117239678399987</v>
      </c>
      <c r="AZ6" s="31">
        <v>0.11320969702000001</v>
      </c>
      <c r="BA6" s="31">
        <v>3.2647754327699987</v>
      </c>
      <c r="BB6" s="31">
        <v>8.9669177077400022</v>
      </c>
      <c r="BC6" s="31">
        <v>1.2316495501100004</v>
      </c>
      <c r="BD6" s="31">
        <v>0.24006762136999962</v>
      </c>
      <c r="BE6" s="31">
        <v>0.12996617610999989</v>
      </c>
      <c r="BF6" s="31">
        <v>2.5491425989300067</v>
      </c>
      <c r="BG6" s="31">
        <v>1.4299681302199991</v>
      </c>
      <c r="BH6" s="31">
        <v>0.15636685880999998</v>
      </c>
      <c r="BI6" s="31">
        <v>1.8519918921199963</v>
      </c>
      <c r="BJ6" s="31">
        <v>2.3304234098599954</v>
      </c>
      <c r="BK6" s="31">
        <v>1.7292130399799976</v>
      </c>
      <c r="BL6" s="31">
        <v>2.3821646275299995</v>
      </c>
      <c r="BM6" s="31">
        <v>0</v>
      </c>
      <c r="BN6" s="31">
        <v>0</v>
      </c>
      <c r="BO6" s="31">
        <v>0</v>
      </c>
      <c r="BP6" s="31">
        <v>0</v>
      </c>
      <c r="BQ6" s="31">
        <v>0.18758806708999978</v>
      </c>
      <c r="BR6" s="31">
        <v>3.3320412452800143</v>
      </c>
      <c r="BS6" s="31">
        <v>0</v>
      </c>
      <c r="BT6" s="31">
        <v>0.87003730978000071</v>
      </c>
      <c r="BU6" s="31">
        <v>0</v>
      </c>
      <c r="BV6" s="31">
        <v>0</v>
      </c>
      <c r="BW6" s="31">
        <v>0</v>
      </c>
      <c r="BX6" s="31">
        <v>0</v>
      </c>
      <c r="BY6" s="31">
        <v>0</v>
      </c>
      <c r="BZ6" s="31">
        <v>0</v>
      </c>
      <c r="CA6" s="31">
        <v>0</v>
      </c>
      <c r="CB6" s="31">
        <v>0</v>
      </c>
      <c r="CC6" s="31">
        <v>2.3376323538500015</v>
      </c>
      <c r="CD6" s="31">
        <v>0</v>
      </c>
      <c r="CE6" s="31">
        <v>0</v>
      </c>
      <c r="CF6" s="31">
        <v>0</v>
      </c>
      <c r="CG6" s="31">
        <v>0.44344414771000001</v>
      </c>
      <c r="CH6" s="31">
        <v>0.20131690900999993</v>
      </c>
      <c r="CI6" s="31">
        <v>4.9428204442699926</v>
      </c>
      <c r="CJ6" s="31">
        <v>0.17658523381000013</v>
      </c>
      <c r="CK6" s="31">
        <v>0.36179299379000041</v>
      </c>
      <c r="CL6" s="31">
        <v>0</v>
      </c>
      <c r="CM6" s="31">
        <v>0</v>
      </c>
      <c r="CN6" s="31">
        <v>0</v>
      </c>
      <c r="CO6" s="31">
        <v>0</v>
      </c>
      <c r="CP6" s="31">
        <v>0</v>
      </c>
      <c r="CQ6" s="31">
        <v>7.3990632360000003E-2</v>
      </c>
      <c r="CR6" s="31">
        <v>3.1374548283699961</v>
      </c>
      <c r="CS6" s="31">
        <v>0.10350663722000003</v>
      </c>
      <c r="CT6" s="31">
        <v>8.7100905910000165E-2</v>
      </c>
      <c r="CU6" s="31">
        <v>0.86917570662000032</v>
      </c>
      <c r="CV6" s="31">
        <v>2.5491788630000005E-2</v>
      </c>
      <c r="CW6" s="31">
        <v>10.258425538870013</v>
      </c>
      <c r="CX6" s="31">
        <v>0.13769534048999998</v>
      </c>
      <c r="CY6" s="31">
        <v>11.148663285860005</v>
      </c>
      <c r="CZ6" s="31">
        <v>0.87996542958000012</v>
      </c>
      <c r="DA6" s="31">
        <v>0.48349629003999978</v>
      </c>
      <c r="DB6" s="31">
        <v>0.41333352534999968</v>
      </c>
      <c r="DC6" s="31">
        <v>0</v>
      </c>
      <c r="DD6" s="31">
        <v>0</v>
      </c>
      <c r="DE6" s="31">
        <v>0</v>
      </c>
      <c r="DF6" s="31">
        <v>0</v>
      </c>
      <c r="DG6" s="31">
        <v>2.5839657594899936</v>
      </c>
      <c r="DH6" s="31">
        <v>1.5955365160400021</v>
      </c>
      <c r="DI6" s="31">
        <v>1.3582223034499998</v>
      </c>
      <c r="DJ6" s="31">
        <v>0.13283960238000012</v>
      </c>
      <c r="DK6" s="31">
        <v>0.57306312253000036</v>
      </c>
      <c r="DL6" s="31">
        <v>1.4676086566700006</v>
      </c>
      <c r="DM6" s="31">
        <v>0.15321248903999998</v>
      </c>
      <c r="DN6" s="31">
        <v>6.8208990610000006E-2</v>
      </c>
      <c r="DO6" s="31">
        <v>0.35659540687000058</v>
      </c>
      <c r="DP6" s="31">
        <v>0.53267059451999965</v>
      </c>
      <c r="DQ6" s="31">
        <v>0.18713468404000039</v>
      </c>
      <c r="DR6" s="31">
        <v>5.2670802039999957E-2</v>
      </c>
      <c r="DS6" s="31">
        <v>1.4275579370000006E-2</v>
      </c>
      <c r="DT6" s="31">
        <v>0</v>
      </c>
      <c r="DU6" s="31">
        <v>0</v>
      </c>
      <c r="DV6" s="31">
        <v>0.38902949323999975</v>
      </c>
      <c r="DW6" s="31">
        <v>0.15696669908999997</v>
      </c>
      <c r="DX6" s="31">
        <v>0.80077979102000041</v>
      </c>
      <c r="DY6" s="31">
        <v>0.25193604004000009</v>
      </c>
      <c r="DZ6" s="31">
        <v>0.78976062668000102</v>
      </c>
      <c r="EA6" s="31">
        <v>0.43537496424999944</v>
      </c>
      <c r="EB6" s="31">
        <v>0.44434467284000073</v>
      </c>
      <c r="EC6" s="31">
        <v>0.13199008741000007</v>
      </c>
      <c r="ED6" s="31">
        <v>2.6613971519999984</v>
      </c>
      <c r="EE6" s="31">
        <v>0.11643987603000001</v>
      </c>
      <c r="EF6" s="31">
        <v>0.15686324237999999</v>
      </c>
      <c r="EG6" s="31">
        <v>0</v>
      </c>
      <c r="EH6" s="31">
        <v>0.71398660870999775</v>
      </c>
      <c r="EI6" s="31">
        <v>4.4580775740600131</v>
      </c>
      <c r="EJ6" s="31">
        <v>1.4541106989799986</v>
      </c>
      <c r="EK6" s="31">
        <v>2.3407477432200041</v>
      </c>
      <c r="EL6" s="31">
        <v>0</v>
      </c>
      <c r="EM6" s="31">
        <v>0</v>
      </c>
      <c r="EN6" s="31">
        <v>0.25441188804000003</v>
      </c>
      <c r="EO6" s="31">
        <v>0</v>
      </c>
      <c r="EP6" s="31">
        <v>0</v>
      </c>
      <c r="EQ6" s="31">
        <v>0</v>
      </c>
      <c r="ER6" s="31">
        <v>0.24006762136999962</v>
      </c>
      <c r="ES6" s="31">
        <v>0.12996617610999989</v>
      </c>
      <c r="ET6" s="31">
        <v>2.5491425989300067</v>
      </c>
      <c r="EU6" s="31">
        <v>0.46225341302000006</v>
      </c>
      <c r="EV6" s="31">
        <v>0.14059999515000005</v>
      </c>
      <c r="EW6" s="31">
        <v>0.51341785048999999</v>
      </c>
      <c r="EX6" s="31">
        <v>0.28219204935000031</v>
      </c>
      <c r="EY6" s="31">
        <v>3.1497422690000026E-2</v>
      </c>
      <c r="EZ6" s="31">
        <v>0.13532916584000002</v>
      </c>
      <c r="FA6" s="31">
        <v>0</v>
      </c>
      <c r="FB6" s="31">
        <v>2.1037690339999998E-2</v>
      </c>
      <c r="FC6" s="31">
        <v>0.37425798657999981</v>
      </c>
      <c r="FD6" s="31">
        <v>0.22065081821000024</v>
      </c>
      <c r="FE6" s="31">
        <v>0.7079891135600016</v>
      </c>
      <c r="FF6" s="31">
        <v>0.54909693017000016</v>
      </c>
      <c r="FG6" s="31">
        <v>0</v>
      </c>
      <c r="FH6" s="31">
        <v>0.75651204814999906</v>
      </c>
      <c r="FI6" s="31">
        <v>1.0278826860400021</v>
      </c>
      <c r="FJ6" s="31">
        <v>0</v>
      </c>
      <c r="FK6" s="31">
        <v>0.47360590760000093</v>
      </c>
      <c r="FL6" s="31">
        <v>0.6951529459200001</v>
      </c>
      <c r="FM6" s="31">
        <v>0.56045239799000113</v>
      </c>
      <c r="FN6" s="31">
        <v>0</v>
      </c>
      <c r="FO6" s="31">
        <v>0</v>
      </c>
      <c r="FP6" s="31">
        <v>0</v>
      </c>
      <c r="FQ6" s="31">
        <v>0</v>
      </c>
      <c r="FR6" s="31">
        <v>0</v>
      </c>
      <c r="FS6" s="31">
        <v>0.18758806708999978</v>
      </c>
      <c r="FT6" s="31">
        <v>2.999244859770017</v>
      </c>
      <c r="FU6" s="31">
        <v>0</v>
      </c>
      <c r="FV6" s="31">
        <v>0.33279774707000009</v>
      </c>
      <c r="FW6" s="31">
        <v>0</v>
      </c>
      <c r="FX6" s="31">
        <v>0</v>
      </c>
      <c r="FY6" s="31">
        <v>0</v>
      </c>
      <c r="FZ6" s="31">
        <v>0</v>
      </c>
      <c r="GA6" s="31">
        <v>0</v>
      </c>
      <c r="GB6" s="31">
        <v>0.87003730978000071</v>
      </c>
      <c r="GC6" s="31">
        <v>0</v>
      </c>
      <c r="GD6" s="31">
        <v>0</v>
      </c>
      <c r="GE6" s="31">
        <v>0</v>
      </c>
      <c r="GF6" s="31">
        <v>0</v>
      </c>
      <c r="GG6" s="31">
        <v>0</v>
      </c>
      <c r="GH6" s="31">
        <v>0</v>
      </c>
      <c r="GI6" s="31">
        <v>0</v>
      </c>
      <c r="GJ6" s="31">
        <v>0</v>
      </c>
      <c r="GK6" s="31">
        <v>0</v>
      </c>
      <c r="GL6" s="31">
        <v>0</v>
      </c>
      <c r="GM6" s="31">
        <v>0</v>
      </c>
      <c r="GN6" s="31">
        <v>0</v>
      </c>
      <c r="GO6" s="31">
        <v>0</v>
      </c>
      <c r="GP6" s="31">
        <v>0</v>
      </c>
      <c r="GQ6" s="31">
        <v>0</v>
      </c>
      <c r="GR6" s="31">
        <v>0</v>
      </c>
      <c r="GS6" s="31">
        <v>0</v>
      </c>
      <c r="GT6" s="31">
        <v>0</v>
      </c>
      <c r="GU6" s="31">
        <v>0</v>
      </c>
      <c r="GV6" s="31">
        <v>0</v>
      </c>
      <c r="GW6" s="31">
        <v>0</v>
      </c>
      <c r="GX6" s="31">
        <v>0</v>
      </c>
      <c r="GY6" s="31">
        <v>0</v>
      </c>
      <c r="GZ6" s="31">
        <v>0</v>
      </c>
      <c r="HA6" s="31">
        <v>0</v>
      </c>
      <c r="HB6" s="31">
        <v>0</v>
      </c>
      <c r="HC6" s="31">
        <v>0</v>
      </c>
      <c r="HD6" s="31">
        <v>0</v>
      </c>
      <c r="HE6" s="31">
        <v>0</v>
      </c>
      <c r="HF6" s="31">
        <v>0</v>
      </c>
      <c r="HG6" s="31">
        <v>0</v>
      </c>
      <c r="HH6" s="31">
        <v>0</v>
      </c>
      <c r="HI6" s="31">
        <v>0</v>
      </c>
      <c r="HJ6" s="31">
        <v>0</v>
      </c>
      <c r="HK6" s="31">
        <v>0</v>
      </c>
      <c r="HL6" s="31">
        <v>0</v>
      </c>
      <c r="HM6" s="31">
        <v>0</v>
      </c>
      <c r="HN6" s="31">
        <v>0</v>
      </c>
      <c r="HO6" s="31">
        <v>0</v>
      </c>
      <c r="HP6" s="31">
        <v>0</v>
      </c>
      <c r="HQ6" s="31">
        <v>0</v>
      </c>
      <c r="HR6" s="31">
        <v>0</v>
      </c>
      <c r="HS6" s="31">
        <v>0</v>
      </c>
      <c r="HT6" s="31">
        <v>0</v>
      </c>
      <c r="HU6" s="31">
        <v>0</v>
      </c>
      <c r="HV6" s="31">
        <v>0</v>
      </c>
      <c r="HW6" s="31">
        <v>0</v>
      </c>
      <c r="HX6" s="31">
        <v>0</v>
      </c>
      <c r="HY6" s="31">
        <v>0</v>
      </c>
      <c r="HZ6" s="31">
        <v>0</v>
      </c>
      <c r="IA6" s="31">
        <v>1.0423003737799987</v>
      </c>
      <c r="IB6" s="31">
        <v>0</v>
      </c>
      <c r="IC6" s="31">
        <v>3.8625008369999991E-2</v>
      </c>
      <c r="ID6" s="31">
        <v>0</v>
      </c>
      <c r="IE6" s="31">
        <v>1.2567065991299973</v>
      </c>
      <c r="IF6" s="31">
        <v>0</v>
      </c>
      <c r="IG6" s="31">
        <v>0</v>
      </c>
      <c r="IH6" s="31">
        <v>0</v>
      </c>
      <c r="II6" s="31">
        <v>0</v>
      </c>
      <c r="IJ6" s="31">
        <v>0</v>
      </c>
      <c r="IK6" s="31">
        <v>0</v>
      </c>
      <c r="IL6" s="31">
        <v>0.26381216959999981</v>
      </c>
      <c r="IM6" s="31">
        <v>0.17963081256999996</v>
      </c>
      <c r="IN6" s="31">
        <v>0.20131690900999993</v>
      </c>
      <c r="IO6" s="31">
        <v>0</v>
      </c>
      <c r="IP6" s="31">
        <v>1.7962317289800005</v>
      </c>
      <c r="IQ6" s="31">
        <v>1.639183837740001</v>
      </c>
      <c r="IR6" s="31">
        <v>1.5074025210700002</v>
      </c>
      <c r="IS6" s="31">
        <v>0.17658523381000013</v>
      </c>
      <c r="IT6" s="31">
        <v>0.36179299379000041</v>
      </c>
      <c r="IU6" s="31">
        <v>0</v>
      </c>
      <c r="IV6" s="31">
        <v>0</v>
      </c>
      <c r="IW6" s="31">
        <v>0</v>
      </c>
      <c r="IX6" s="31">
        <v>0</v>
      </c>
      <c r="IY6" s="31">
        <v>0</v>
      </c>
      <c r="IZ6" s="31">
        <v>0</v>
      </c>
      <c r="JA6" s="31">
        <v>0</v>
      </c>
      <c r="JB6" s="31">
        <v>7.3990632360000003E-2</v>
      </c>
      <c r="JC6" s="31">
        <v>0.87993326627999802</v>
      </c>
      <c r="JD6" s="31">
        <v>1.7493600804799974</v>
      </c>
      <c r="JE6" s="31">
        <v>0.37572895512000021</v>
      </c>
      <c r="JF6" s="31">
        <v>0.10350663722000003</v>
      </c>
      <c r="JG6" s="31">
        <v>8.7100905910000165E-2</v>
      </c>
      <c r="JH6" s="31">
        <v>0.25263652504000023</v>
      </c>
      <c r="JI6" s="31">
        <v>0.45523953751999974</v>
      </c>
      <c r="JJ6" s="31">
        <v>0.16129364121000009</v>
      </c>
      <c r="JK6" s="31">
        <v>2.5491788630000005E-2</v>
      </c>
      <c r="JL6" s="31">
        <v>10.258425538870013</v>
      </c>
      <c r="JM6" s="31">
        <v>0.13769534048999998</v>
      </c>
      <c r="JN6" s="31">
        <v>11.148663285860005</v>
      </c>
      <c r="JO6" s="31">
        <v>0.65157385824000003</v>
      </c>
      <c r="JP6" s="31">
        <v>0.22839162427999998</v>
      </c>
      <c r="JQ6" s="31">
        <v>0.48349629003999978</v>
      </c>
      <c r="JR6" s="31">
        <v>0.41333352534999968</v>
      </c>
      <c r="JS6" s="31">
        <v>0</v>
      </c>
      <c r="JT6" s="31">
        <v>0</v>
      </c>
      <c r="JU6" s="31">
        <v>0</v>
      </c>
      <c r="JV6" s="31">
        <v>0</v>
      </c>
      <c r="JW6" s="31">
        <v>2.5839657594899936</v>
      </c>
      <c r="JX6" s="31">
        <v>0</v>
      </c>
      <c r="JY6" s="31">
        <v>0</v>
      </c>
      <c r="JZ6" s="31">
        <v>1.3582223034499998</v>
      </c>
      <c r="KA6" s="31">
        <v>0.13283960238000012</v>
      </c>
      <c r="KB6" s="31">
        <v>0.57306312253000036</v>
      </c>
      <c r="KC6" s="31">
        <v>1.4676086566700006</v>
      </c>
      <c r="KD6" s="31">
        <v>0.15321248903999998</v>
      </c>
      <c r="KE6" s="31">
        <v>6.8208990610000006E-2</v>
      </c>
      <c r="KF6" s="31">
        <v>0.35659540687000058</v>
      </c>
      <c r="KG6" s="31">
        <v>0.11617513206000001</v>
      </c>
      <c r="KH6" s="31">
        <v>0.22381953848000008</v>
      </c>
      <c r="KI6" s="31">
        <v>0</v>
      </c>
      <c r="KJ6" s="31">
        <v>0</v>
      </c>
      <c r="KK6" s="31">
        <v>0</v>
      </c>
      <c r="KL6" s="31">
        <v>0</v>
      </c>
      <c r="KM6" s="31">
        <v>0.16643902279999995</v>
      </c>
      <c r="KN6" s="31">
        <v>0.18713468404000039</v>
      </c>
      <c r="KO6" s="31">
        <v>5.2670802039999957E-2</v>
      </c>
      <c r="KP6" s="31">
        <v>0</v>
      </c>
      <c r="KQ6" s="31">
        <v>0</v>
      </c>
      <c r="KR6" s="31">
        <v>0</v>
      </c>
      <c r="KS6" s="31">
        <v>1.4275579370000006E-2</v>
      </c>
      <c r="KT6" s="31">
        <v>0</v>
      </c>
      <c r="KU6" s="31">
        <v>0</v>
      </c>
      <c r="KV6" s="31">
        <v>0</v>
      </c>
      <c r="KW6" s="31">
        <v>0</v>
      </c>
      <c r="KX6" s="31">
        <v>0</v>
      </c>
      <c r="KY6" s="31">
        <v>0</v>
      </c>
      <c r="KZ6" s="31">
        <v>0.80077979102000041</v>
      </c>
      <c r="LA6" s="31">
        <v>0.25193604004000009</v>
      </c>
      <c r="LB6" s="31">
        <v>0.78976062668000102</v>
      </c>
      <c r="LC6" s="31">
        <v>0.43537496424999944</v>
      </c>
      <c r="LD6" s="31">
        <v>0.44434467284000073</v>
      </c>
      <c r="LE6" s="31">
        <v>0</v>
      </c>
      <c r="LF6" s="31">
        <v>0</v>
      </c>
      <c r="LG6" s="31">
        <v>0.13199008741000007</v>
      </c>
      <c r="LH6" s="31">
        <v>1.3088386651900004</v>
      </c>
      <c r="LI6" s="31">
        <v>1.3525584868100005</v>
      </c>
      <c r="LJ6" s="31">
        <v>0.11643987603000001</v>
      </c>
      <c r="LK6" s="31">
        <v>0.15686324237999999</v>
      </c>
      <c r="LL6" s="31">
        <v>0</v>
      </c>
      <c r="LM6" s="31">
        <v>0.71398660870999775</v>
      </c>
      <c r="LN6" s="31">
        <v>4.4580775740600131</v>
      </c>
      <c r="LO6" s="31">
        <v>1.4541106989799986</v>
      </c>
      <c r="LP6" s="31">
        <v>2.3407477432200041</v>
      </c>
      <c r="LQ6" s="31">
        <v>0</v>
      </c>
      <c r="LR6" s="31">
        <v>0</v>
      </c>
      <c r="LS6" s="31">
        <v>0.25441188804000003</v>
      </c>
      <c r="LT6" s="31">
        <v>0</v>
      </c>
      <c r="LU6" s="31">
        <v>0</v>
      </c>
      <c r="LV6" s="31">
        <v>0</v>
      </c>
      <c r="LW6" s="31">
        <v>0</v>
      </c>
      <c r="LX6" s="31">
        <v>0.12996617610999989</v>
      </c>
      <c r="LY6" s="31">
        <v>2.5491425989300067</v>
      </c>
      <c r="LZ6" s="31">
        <v>0.10371251149000008</v>
      </c>
      <c r="MA6" s="31">
        <v>0.3585412027600004</v>
      </c>
      <c r="MB6" s="31">
        <v>0.14059999515000005</v>
      </c>
      <c r="MC6" s="31">
        <v>0</v>
      </c>
      <c r="MD6" s="31">
        <v>0.51341785048999999</v>
      </c>
      <c r="ME6" s="31">
        <v>0.28219204935000031</v>
      </c>
      <c r="MF6" s="31">
        <v>3.1497422690000026E-2</v>
      </c>
      <c r="MG6" s="31">
        <v>0.13532916584000002</v>
      </c>
      <c r="MH6" s="31">
        <v>0</v>
      </c>
      <c r="MI6" s="31">
        <v>0</v>
      </c>
      <c r="MJ6" s="31">
        <v>2.1037690339999998E-2</v>
      </c>
      <c r="MK6" s="31">
        <v>0.37425798657999981</v>
      </c>
      <c r="ML6" s="31">
        <v>0.22065081821000024</v>
      </c>
      <c r="MM6" s="31">
        <v>0.7079891135600016</v>
      </c>
      <c r="MN6" s="31">
        <v>0.54909693017000016</v>
      </c>
      <c r="MO6" s="31">
        <v>0</v>
      </c>
      <c r="MP6" s="31">
        <v>0.75651204814999906</v>
      </c>
      <c r="MQ6" s="31">
        <v>0</v>
      </c>
      <c r="MR6" s="31">
        <v>0</v>
      </c>
      <c r="MS6" s="31">
        <v>0.79856391619000289</v>
      </c>
      <c r="MT6" s="31">
        <v>0.22933009251999981</v>
      </c>
      <c r="MU6" s="31">
        <v>0</v>
      </c>
      <c r="MV6" s="31">
        <v>0.47360590760000093</v>
      </c>
      <c r="MW6" s="31">
        <v>0.6951529459200001</v>
      </c>
      <c r="MX6" s="31">
        <v>0.56045239799000113</v>
      </c>
      <c r="MY6" s="31">
        <v>0</v>
      </c>
      <c r="MZ6" s="31">
        <v>0</v>
      </c>
      <c r="NA6" s="31">
        <v>0</v>
      </c>
      <c r="NB6" s="31">
        <v>0</v>
      </c>
      <c r="NC6" s="31">
        <v>0</v>
      </c>
      <c r="ND6" s="31">
        <v>0.18758806708999978</v>
      </c>
      <c r="NE6" s="31">
        <v>0</v>
      </c>
      <c r="NF6" s="31">
        <v>0</v>
      </c>
      <c r="NG6" s="31">
        <v>0.33279774707000009</v>
      </c>
      <c r="NH6" s="31">
        <v>0.87003730978000071</v>
      </c>
      <c r="NI6" s="31">
        <v>1.0423003737799987</v>
      </c>
      <c r="NJ6" s="31">
        <v>3.8625008369999991E-2</v>
      </c>
      <c r="NK6" s="31">
        <v>1.2567065991299973</v>
      </c>
      <c r="NL6" s="31">
        <v>0</v>
      </c>
      <c r="NM6" s="31">
        <v>0.26381216959999981</v>
      </c>
      <c r="NN6" s="31">
        <v>0</v>
      </c>
      <c r="NO6" s="31">
        <v>0</v>
      </c>
      <c r="NP6" s="31">
        <v>9.6525020260000011E-2</v>
      </c>
      <c r="NQ6" s="31">
        <v>0.10479188875000001</v>
      </c>
      <c r="NR6" s="31">
        <v>0</v>
      </c>
      <c r="NS6" s="31">
        <v>1.7962317289800005</v>
      </c>
      <c r="NT6" s="31">
        <v>1.639183837740001</v>
      </c>
      <c r="NU6" s="31">
        <v>1.5074025210700002</v>
      </c>
      <c r="NV6" s="31">
        <v>0.17658523381000013</v>
      </c>
      <c r="NW6" s="31">
        <v>0.12883889187</v>
      </c>
    </row>
    <row r="7" spans="1:387">
      <c r="A7" s="31" t="s">
        <v>392</v>
      </c>
      <c r="B7" s="31"/>
      <c r="C7" s="31"/>
      <c r="D7" s="31"/>
      <c r="E7" s="31"/>
      <c r="F7" s="31"/>
      <c r="G7" s="31"/>
      <c r="H7" s="31"/>
      <c r="I7" s="31"/>
      <c r="J7" s="31"/>
      <c r="K7" s="31"/>
      <c r="L7" s="31"/>
      <c r="M7" s="31"/>
      <c r="N7" s="31"/>
      <c r="O7" s="31"/>
      <c r="P7" s="31"/>
      <c r="Q7" s="31"/>
      <c r="R7" s="31"/>
      <c r="S7" s="31">
        <v>106.28974050424999</v>
      </c>
      <c r="T7" s="31">
        <v>13.263134237819983</v>
      </c>
      <c r="U7" s="31">
        <v>1.8618187917599998</v>
      </c>
      <c r="V7" s="31">
        <v>4.831013500199985</v>
      </c>
      <c r="W7" s="31">
        <v>33.230150277699998</v>
      </c>
      <c r="X7" s="31">
        <v>4.8148314373500005</v>
      </c>
      <c r="Y7" s="31">
        <v>3.3130030998600066</v>
      </c>
      <c r="Z7" s="31">
        <v>14.611760050750005</v>
      </c>
      <c r="AA7" s="31">
        <v>3.1038929869599876</v>
      </c>
      <c r="AB7" s="31">
        <v>11.495944726890009</v>
      </c>
      <c r="AC7" s="31">
        <v>1.0018725171500003</v>
      </c>
      <c r="AD7" s="31">
        <v>4.8555496800000073</v>
      </c>
      <c r="AE7" s="31">
        <v>11.895639633350042</v>
      </c>
      <c r="AF7" s="31">
        <v>9.9067678917000297</v>
      </c>
      <c r="AG7" s="31">
        <v>1.367495135120006</v>
      </c>
      <c r="AH7" s="31">
        <v>0.99500093690000391</v>
      </c>
      <c r="AI7" s="31">
        <v>0.86681641935999965</v>
      </c>
      <c r="AJ7" s="31">
        <v>0</v>
      </c>
      <c r="AK7" s="31">
        <v>3.8386585101499939</v>
      </c>
      <c r="AL7" s="31">
        <v>0.99235178854000006</v>
      </c>
      <c r="AM7" s="31">
        <v>9.9637942721099968</v>
      </c>
      <c r="AN7" s="31">
        <v>13.232926776039976</v>
      </c>
      <c r="AO7" s="31">
        <v>0.89139789505000044</v>
      </c>
      <c r="AP7" s="31">
        <v>0</v>
      </c>
      <c r="AQ7" s="31">
        <v>6.4282657447500231</v>
      </c>
      <c r="AR7" s="31">
        <v>1.74190843197</v>
      </c>
      <c r="AS7" s="31">
        <v>0.41191048373000078</v>
      </c>
      <c r="AT7" s="31">
        <v>0.96144525568999994</v>
      </c>
      <c r="AU7" s="31">
        <v>0.37044465195999993</v>
      </c>
      <c r="AV7" s="31">
        <v>0.61104959056000008</v>
      </c>
      <c r="AW7" s="31">
        <v>0.60425005823999878</v>
      </c>
      <c r="AX7" s="31">
        <v>2.0297917682699977</v>
      </c>
      <c r="AY7" s="31">
        <v>1.1302581779999987</v>
      </c>
      <c r="AZ7" s="31">
        <v>0.14311080876999999</v>
      </c>
      <c r="BA7" s="31">
        <v>3.9791403417200004</v>
      </c>
      <c r="BB7" s="31">
        <v>9.8558164461100155</v>
      </c>
      <c r="BC7" s="31">
        <v>1.4467261493900034</v>
      </c>
      <c r="BD7" s="31">
        <v>0.24922788819000002</v>
      </c>
      <c r="BE7" s="31">
        <v>0.16739949804999996</v>
      </c>
      <c r="BF7" s="31">
        <v>2.6872683429500004</v>
      </c>
      <c r="BG7" s="31">
        <v>1.7049960127100001</v>
      </c>
      <c r="BH7" s="31">
        <v>0.12344957640000001</v>
      </c>
      <c r="BI7" s="31">
        <v>2.0866878914599942</v>
      </c>
      <c r="BJ7" s="31">
        <v>2.6317713078299914</v>
      </c>
      <c r="BK7" s="31">
        <v>1.9405716552600021</v>
      </c>
      <c r="BL7" s="31">
        <v>3.0084787533000021</v>
      </c>
      <c r="BM7" s="31">
        <v>0</v>
      </c>
      <c r="BN7" s="31">
        <v>0</v>
      </c>
      <c r="BO7" s="31">
        <v>0</v>
      </c>
      <c r="BP7" s="31">
        <v>0</v>
      </c>
      <c r="BQ7" s="31">
        <v>0.21121062011000016</v>
      </c>
      <c r="BR7" s="31">
        <v>3.8711256033300017</v>
      </c>
      <c r="BS7" s="31">
        <v>0</v>
      </c>
      <c r="BT7" s="31">
        <v>0.98442197298999923</v>
      </c>
      <c r="BU7" s="31">
        <v>0</v>
      </c>
      <c r="BV7" s="31">
        <v>0</v>
      </c>
      <c r="BW7" s="31">
        <v>0</v>
      </c>
      <c r="BX7" s="31">
        <v>0</v>
      </c>
      <c r="BY7" s="31">
        <v>0</v>
      </c>
      <c r="BZ7" s="31">
        <v>0</v>
      </c>
      <c r="CA7" s="31">
        <v>0</v>
      </c>
      <c r="CB7" s="31">
        <v>0</v>
      </c>
      <c r="CC7" s="31">
        <v>2.5334110293999981</v>
      </c>
      <c r="CD7" s="31">
        <v>0</v>
      </c>
      <c r="CE7" s="31">
        <v>0</v>
      </c>
      <c r="CF7" s="31">
        <v>0</v>
      </c>
      <c r="CG7" s="31">
        <v>0.53588530644000087</v>
      </c>
      <c r="CH7" s="31">
        <v>0.17416348319000002</v>
      </c>
      <c r="CI7" s="31">
        <v>6.0016181887799958</v>
      </c>
      <c r="CJ7" s="31">
        <v>0.26217874387000006</v>
      </c>
      <c r="CK7" s="31">
        <v>0.34570288984000069</v>
      </c>
      <c r="CL7" s="31">
        <v>0</v>
      </c>
      <c r="CM7" s="31">
        <v>0</v>
      </c>
      <c r="CN7" s="31">
        <v>0</v>
      </c>
      <c r="CO7" s="31">
        <v>0</v>
      </c>
      <c r="CP7" s="31">
        <v>0</v>
      </c>
      <c r="CQ7" s="31">
        <v>8.5341521510000073E-2</v>
      </c>
      <c r="CR7" s="31">
        <v>3.5339712242800045</v>
      </c>
      <c r="CS7" s="31">
        <v>0.11784005925000006</v>
      </c>
      <c r="CT7" s="31">
        <v>0.10150523940999981</v>
      </c>
      <c r="CU7" s="31">
        <v>0.94342113413999917</v>
      </c>
      <c r="CV7" s="31">
        <v>2.787344420999998E-2</v>
      </c>
      <c r="CW7" s="31">
        <v>9.8104852430599987</v>
      </c>
      <c r="CX7" s="31">
        <v>0.15330885133</v>
      </c>
      <c r="CY7" s="31">
        <v>12.394438041999958</v>
      </c>
      <c r="CZ7" s="31">
        <v>0.83848840302000027</v>
      </c>
      <c r="DA7" s="31">
        <v>0.52853611621000041</v>
      </c>
      <c r="DB7" s="31">
        <v>0.36286203779000004</v>
      </c>
      <c r="DC7" s="31">
        <v>0</v>
      </c>
      <c r="DD7" s="31">
        <v>0</v>
      </c>
      <c r="DE7" s="31">
        <v>0</v>
      </c>
      <c r="DF7" s="31">
        <v>0</v>
      </c>
      <c r="DG7" s="31">
        <v>2.6411979859999923</v>
      </c>
      <c r="DH7" s="31">
        <v>1.6921542661100009</v>
      </c>
      <c r="DI7" s="31">
        <v>1.3883364861500005</v>
      </c>
      <c r="DJ7" s="31">
        <v>0.13983765920000005</v>
      </c>
      <c r="DK7" s="31">
        <v>0.56672905054000045</v>
      </c>
      <c r="DL7" s="31">
        <v>1.5111913329599993</v>
      </c>
      <c r="DM7" s="31">
        <v>0.19289350765000002</v>
      </c>
      <c r="DN7" s="31">
        <v>3.7823492030000017E-2</v>
      </c>
      <c r="DO7" s="31">
        <v>0.41191048373000078</v>
      </c>
      <c r="DP7" s="31">
        <v>0.68583093309999976</v>
      </c>
      <c r="DQ7" s="31">
        <v>0.22514302777000017</v>
      </c>
      <c r="DR7" s="31">
        <v>5.0470198170000001E-2</v>
      </c>
      <c r="DS7" s="31">
        <v>1.0954603260000001E-2</v>
      </c>
      <c r="DT7" s="31">
        <v>0</v>
      </c>
      <c r="DU7" s="31">
        <v>0</v>
      </c>
      <c r="DV7" s="31">
        <v>0.42027733894999825</v>
      </c>
      <c r="DW7" s="31">
        <v>0.18397351214000016</v>
      </c>
      <c r="DX7" s="31">
        <v>0.88804175855000278</v>
      </c>
      <c r="DY7" s="31">
        <v>0.25738748862999988</v>
      </c>
      <c r="DZ7" s="31">
        <v>0.88435946824000045</v>
      </c>
      <c r="EA7" s="31">
        <v>0.50015946609999995</v>
      </c>
      <c r="EB7" s="31">
        <v>0.46419971334999993</v>
      </c>
      <c r="EC7" s="31">
        <v>0.16588139544999983</v>
      </c>
      <c r="ED7" s="31">
        <v>3.2579780158200009</v>
      </c>
      <c r="EE7" s="31">
        <v>9.1157462549999999E-2</v>
      </c>
      <c r="EF7" s="31">
        <v>0.15436393645999996</v>
      </c>
      <c r="EG7" s="31">
        <v>2.6771283000000002E-4</v>
      </c>
      <c r="EH7" s="31">
        <v>0.76374106918999984</v>
      </c>
      <c r="EI7" s="31">
        <v>4.8987235153400093</v>
      </c>
      <c r="EJ7" s="31">
        <v>1.6340199295500026</v>
      </c>
      <c r="EK7" s="31">
        <v>2.5593387472800009</v>
      </c>
      <c r="EL7" s="31">
        <v>0</v>
      </c>
      <c r="EM7" s="31">
        <v>0</v>
      </c>
      <c r="EN7" s="31">
        <v>0.31059150572000016</v>
      </c>
      <c r="EO7" s="31">
        <v>0</v>
      </c>
      <c r="EP7" s="31">
        <v>0</v>
      </c>
      <c r="EQ7" s="31">
        <v>0</v>
      </c>
      <c r="ER7" s="31">
        <v>0.24922788819000002</v>
      </c>
      <c r="ES7" s="31">
        <v>0.16739949804999996</v>
      </c>
      <c r="ET7" s="31">
        <v>2.6872683429500004</v>
      </c>
      <c r="EU7" s="31">
        <v>0.57232516289000002</v>
      </c>
      <c r="EV7" s="31">
        <v>0.15742025796999998</v>
      </c>
      <c r="EW7" s="31">
        <v>0.6006103992099987</v>
      </c>
      <c r="EX7" s="31">
        <v>0.33223278003999968</v>
      </c>
      <c r="EY7" s="31">
        <v>4.240497454999996E-2</v>
      </c>
      <c r="EZ7" s="31">
        <v>9.6486043209999955E-2</v>
      </c>
      <c r="FA7" s="31">
        <v>0</v>
      </c>
      <c r="FB7" s="31">
        <v>2.6963743389999996E-2</v>
      </c>
      <c r="FC7" s="31">
        <v>0.41658781071999995</v>
      </c>
      <c r="FD7" s="31">
        <v>0.24866641012999977</v>
      </c>
      <c r="FE7" s="31">
        <v>0.74723020829999975</v>
      </c>
      <c r="FF7" s="31">
        <v>0.67420430989000091</v>
      </c>
      <c r="FG7" s="31">
        <v>0</v>
      </c>
      <c r="FH7" s="31">
        <v>0.87323895228000048</v>
      </c>
      <c r="FI7" s="31">
        <v>1.093885600270001</v>
      </c>
      <c r="FJ7" s="31">
        <v>0</v>
      </c>
      <c r="FK7" s="31">
        <v>0.52875772365000107</v>
      </c>
      <c r="FL7" s="31">
        <v>0.77005261762999899</v>
      </c>
      <c r="FM7" s="31">
        <v>0.64176489776999901</v>
      </c>
      <c r="FN7" s="31">
        <v>0</v>
      </c>
      <c r="FO7" s="31">
        <v>0</v>
      </c>
      <c r="FP7" s="31">
        <v>0</v>
      </c>
      <c r="FQ7" s="31">
        <v>0</v>
      </c>
      <c r="FR7" s="31">
        <v>0</v>
      </c>
      <c r="FS7" s="31">
        <v>0.21121062011000016</v>
      </c>
      <c r="FT7" s="31">
        <v>3.4766382099099991</v>
      </c>
      <c r="FU7" s="31">
        <v>0</v>
      </c>
      <c r="FV7" s="31">
        <v>0.3944878535399996</v>
      </c>
      <c r="FW7" s="31">
        <v>0</v>
      </c>
      <c r="FX7" s="31">
        <v>0</v>
      </c>
      <c r="FY7" s="31">
        <v>0</v>
      </c>
      <c r="FZ7" s="31">
        <v>0</v>
      </c>
      <c r="GA7" s="31">
        <v>0</v>
      </c>
      <c r="GB7" s="31">
        <v>0.98442197298999923</v>
      </c>
      <c r="GC7" s="31">
        <v>0</v>
      </c>
      <c r="GD7" s="31">
        <v>0</v>
      </c>
      <c r="GE7" s="31">
        <v>0</v>
      </c>
      <c r="GF7" s="31">
        <v>0</v>
      </c>
      <c r="GG7" s="31">
        <v>0</v>
      </c>
      <c r="GH7" s="31">
        <v>0</v>
      </c>
      <c r="GI7" s="31">
        <v>0</v>
      </c>
      <c r="GJ7" s="31">
        <v>0</v>
      </c>
      <c r="GK7" s="31">
        <v>0</v>
      </c>
      <c r="GL7" s="31">
        <v>0</v>
      </c>
      <c r="GM7" s="31">
        <v>0</v>
      </c>
      <c r="GN7" s="31">
        <v>0</v>
      </c>
      <c r="GO7" s="31">
        <v>0</v>
      </c>
      <c r="GP7" s="31">
        <v>0</v>
      </c>
      <c r="GQ7" s="31">
        <v>0</v>
      </c>
      <c r="GR7" s="31">
        <v>0</v>
      </c>
      <c r="GS7" s="31">
        <v>0</v>
      </c>
      <c r="GT7" s="31">
        <v>0</v>
      </c>
      <c r="GU7" s="31">
        <v>0</v>
      </c>
      <c r="GV7" s="31">
        <v>0</v>
      </c>
      <c r="GW7" s="31">
        <v>0</v>
      </c>
      <c r="GX7" s="31">
        <v>0</v>
      </c>
      <c r="GY7" s="31">
        <v>0</v>
      </c>
      <c r="GZ7" s="31">
        <v>0</v>
      </c>
      <c r="HA7" s="31">
        <v>0</v>
      </c>
      <c r="HB7" s="31">
        <v>0</v>
      </c>
      <c r="HC7" s="31">
        <v>0</v>
      </c>
      <c r="HD7" s="31">
        <v>0</v>
      </c>
      <c r="HE7" s="31">
        <v>0</v>
      </c>
      <c r="HF7" s="31">
        <v>0</v>
      </c>
      <c r="HG7" s="31">
        <v>0</v>
      </c>
      <c r="HH7" s="31">
        <v>0</v>
      </c>
      <c r="HI7" s="31">
        <v>0</v>
      </c>
      <c r="HJ7" s="31">
        <v>0</v>
      </c>
      <c r="HK7" s="31">
        <v>0</v>
      </c>
      <c r="HL7" s="31">
        <v>0</v>
      </c>
      <c r="HM7" s="31">
        <v>0</v>
      </c>
      <c r="HN7" s="31">
        <v>0</v>
      </c>
      <c r="HO7" s="31">
        <v>0</v>
      </c>
      <c r="HP7" s="31">
        <v>0</v>
      </c>
      <c r="HQ7" s="31">
        <v>0</v>
      </c>
      <c r="HR7" s="31">
        <v>0</v>
      </c>
      <c r="HS7" s="31">
        <v>0</v>
      </c>
      <c r="HT7" s="31">
        <v>0</v>
      </c>
      <c r="HU7" s="31">
        <v>0</v>
      </c>
      <c r="HV7" s="31">
        <v>0</v>
      </c>
      <c r="HW7" s="31">
        <v>0</v>
      </c>
      <c r="HX7" s="31">
        <v>0</v>
      </c>
      <c r="HY7" s="31">
        <v>0</v>
      </c>
      <c r="HZ7" s="31">
        <v>0</v>
      </c>
      <c r="IA7" s="31">
        <v>1.1369864172999979</v>
      </c>
      <c r="IB7" s="31">
        <v>0</v>
      </c>
      <c r="IC7" s="31">
        <v>4.7964903119999999E-2</v>
      </c>
      <c r="ID7" s="31">
        <v>0</v>
      </c>
      <c r="IE7" s="31">
        <v>1.3484542122899987</v>
      </c>
      <c r="IF7" s="31">
        <v>0</v>
      </c>
      <c r="IG7" s="31">
        <v>0</v>
      </c>
      <c r="IH7" s="31">
        <v>0</v>
      </c>
      <c r="II7" s="31">
        <v>0</v>
      </c>
      <c r="IJ7" s="31">
        <v>0</v>
      </c>
      <c r="IK7" s="31">
        <v>0</v>
      </c>
      <c r="IL7" s="31">
        <v>0.31848299725999968</v>
      </c>
      <c r="IM7" s="31">
        <v>0.21740090820000005</v>
      </c>
      <c r="IN7" s="31">
        <v>0.17416348319000002</v>
      </c>
      <c r="IO7" s="31">
        <v>0</v>
      </c>
      <c r="IP7" s="31">
        <v>2.4246185144099979</v>
      </c>
      <c r="IQ7" s="31">
        <v>1.7873679075500013</v>
      </c>
      <c r="IR7" s="31">
        <v>1.7896294447700036</v>
      </c>
      <c r="IS7" s="31">
        <v>0.26217874387000006</v>
      </c>
      <c r="IT7" s="31">
        <v>0.34570288984000069</v>
      </c>
      <c r="IU7" s="31">
        <v>0</v>
      </c>
      <c r="IV7" s="31">
        <v>0</v>
      </c>
      <c r="IW7" s="31">
        <v>0</v>
      </c>
      <c r="IX7" s="31">
        <v>0</v>
      </c>
      <c r="IY7" s="31">
        <v>0</v>
      </c>
      <c r="IZ7" s="31">
        <v>0</v>
      </c>
      <c r="JA7" s="31">
        <v>0</v>
      </c>
      <c r="JB7" s="31">
        <v>8.5341521510000073E-2</v>
      </c>
      <c r="JC7" s="31">
        <v>0.97941805267999971</v>
      </c>
      <c r="JD7" s="31">
        <v>2.0188188741699986</v>
      </c>
      <c r="JE7" s="31">
        <v>0.39645586156000034</v>
      </c>
      <c r="JF7" s="31">
        <v>0.11784005925000006</v>
      </c>
      <c r="JG7" s="31">
        <v>0.10150523940999981</v>
      </c>
      <c r="JH7" s="31">
        <v>0.2809389656299997</v>
      </c>
      <c r="JI7" s="31">
        <v>0.50990551632999914</v>
      </c>
      <c r="JJ7" s="31">
        <v>0.15257129784000001</v>
      </c>
      <c r="JK7" s="31">
        <v>2.787344420999998E-2</v>
      </c>
      <c r="JL7" s="31">
        <v>9.8104852430599987</v>
      </c>
      <c r="JM7" s="31">
        <v>0.15330885133</v>
      </c>
      <c r="JN7" s="31">
        <v>12.394438041999958</v>
      </c>
      <c r="JO7" s="31">
        <v>0.58568945858999988</v>
      </c>
      <c r="JP7" s="31">
        <v>0.25279894443000012</v>
      </c>
      <c r="JQ7" s="31">
        <v>0.52853611621000041</v>
      </c>
      <c r="JR7" s="31">
        <v>0.36286203779000004</v>
      </c>
      <c r="JS7" s="31">
        <v>0</v>
      </c>
      <c r="JT7" s="31">
        <v>0</v>
      </c>
      <c r="JU7" s="31">
        <v>0</v>
      </c>
      <c r="JV7" s="31">
        <v>0</v>
      </c>
      <c r="JW7" s="31">
        <v>2.6411979859999923</v>
      </c>
      <c r="JX7" s="31">
        <v>0</v>
      </c>
      <c r="JY7" s="31">
        <v>0</v>
      </c>
      <c r="JZ7" s="31">
        <v>1.3883364861500005</v>
      </c>
      <c r="KA7" s="31">
        <v>0.13983765920000005</v>
      </c>
      <c r="KB7" s="31">
        <v>0.56672905054000045</v>
      </c>
      <c r="KC7" s="31">
        <v>1.5111913329599993</v>
      </c>
      <c r="KD7" s="31">
        <v>0.19289350765000002</v>
      </c>
      <c r="KE7" s="31">
        <v>3.7823492030000017E-2</v>
      </c>
      <c r="KF7" s="31">
        <v>0.41191048373000078</v>
      </c>
      <c r="KG7" s="31">
        <v>0.16092731990000012</v>
      </c>
      <c r="KH7" s="31">
        <v>0.24670129346000014</v>
      </c>
      <c r="KI7" s="31">
        <v>0</v>
      </c>
      <c r="KJ7" s="31">
        <v>0</v>
      </c>
      <c r="KK7" s="31">
        <v>0</v>
      </c>
      <c r="KL7" s="31">
        <v>0</v>
      </c>
      <c r="KM7" s="31">
        <v>0.26736097921999996</v>
      </c>
      <c r="KN7" s="31">
        <v>0.22514302777000017</v>
      </c>
      <c r="KO7" s="31">
        <v>5.0470198170000001E-2</v>
      </c>
      <c r="KP7" s="31">
        <v>0</v>
      </c>
      <c r="KQ7" s="31">
        <v>0</v>
      </c>
      <c r="KR7" s="31">
        <v>0</v>
      </c>
      <c r="KS7" s="31">
        <v>1.0954603260000001E-2</v>
      </c>
      <c r="KT7" s="31">
        <v>0</v>
      </c>
      <c r="KU7" s="31">
        <v>0</v>
      </c>
      <c r="KV7" s="31">
        <v>0</v>
      </c>
      <c r="KW7" s="31">
        <v>0</v>
      </c>
      <c r="KX7" s="31">
        <v>0</v>
      </c>
      <c r="KY7" s="31">
        <v>0</v>
      </c>
      <c r="KZ7" s="31">
        <v>0.88804175855000278</v>
      </c>
      <c r="LA7" s="31">
        <v>0.25738748862999988</v>
      </c>
      <c r="LB7" s="31">
        <v>0.88435946824000045</v>
      </c>
      <c r="LC7" s="31">
        <v>0.50015946609999995</v>
      </c>
      <c r="LD7" s="31">
        <v>0.46419971334999993</v>
      </c>
      <c r="LE7" s="31">
        <v>0</v>
      </c>
      <c r="LF7" s="31">
        <v>0</v>
      </c>
      <c r="LG7" s="31">
        <v>0.16588139544999983</v>
      </c>
      <c r="LH7" s="31">
        <v>1.5365852077699995</v>
      </c>
      <c r="LI7" s="31">
        <v>1.7213928080500003</v>
      </c>
      <c r="LJ7" s="31">
        <v>9.1157462549999999E-2</v>
      </c>
      <c r="LK7" s="31">
        <v>0.15436393645999996</v>
      </c>
      <c r="LL7" s="31">
        <v>2.6771283000000002E-4</v>
      </c>
      <c r="LM7" s="31">
        <v>0.76374106918999984</v>
      </c>
      <c r="LN7" s="31">
        <v>4.8987235153400093</v>
      </c>
      <c r="LO7" s="31">
        <v>1.6340199295500026</v>
      </c>
      <c r="LP7" s="31">
        <v>2.5593387472800009</v>
      </c>
      <c r="LQ7" s="31">
        <v>0</v>
      </c>
      <c r="LR7" s="31">
        <v>0</v>
      </c>
      <c r="LS7" s="31">
        <v>0.31059150572000016</v>
      </c>
      <c r="LT7" s="31">
        <v>0</v>
      </c>
      <c r="LU7" s="31">
        <v>0</v>
      </c>
      <c r="LV7" s="31">
        <v>0</v>
      </c>
      <c r="LW7" s="31">
        <v>0</v>
      </c>
      <c r="LX7" s="31">
        <v>0.16739949804999996</v>
      </c>
      <c r="LY7" s="31">
        <v>2.6872683429500004</v>
      </c>
      <c r="LZ7" s="31">
        <v>0.14657870984999996</v>
      </c>
      <c r="MA7" s="31">
        <v>0.42574618696999988</v>
      </c>
      <c r="MB7" s="31">
        <v>0.15742025796999998</v>
      </c>
      <c r="MC7" s="31">
        <v>0</v>
      </c>
      <c r="MD7" s="31">
        <v>0.6006103992099987</v>
      </c>
      <c r="ME7" s="31">
        <v>0.33223278003999968</v>
      </c>
      <c r="MF7" s="31">
        <v>4.240497454999996E-2</v>
      </c>
      <c r="MG7" s="31">
        <v>9.6486043209999955E-2</v>
      </c>
      <c r="MH7" s="31">
        <v>0</v>
      </c>
      <c r="MI7" s="31">
        <v>0</v>
      </c>
      <c r="MJ7" s="31">
        <v>2.6963743389999996E-2</v>
      </c>
      <c r="MK7" s="31">
        <v>0.41658781071999995</v>
      </c>
      <c r="ML7" s="31">
        <v>0.24866641012999977</v>
      </c>
      <c r="MM7" s="31">
        <v>0.74723020829999975</v>
      </c>
      <c r="MN7" s="31">
        <v>0.67420430989000091</v>
      </c>
      <c r="MO7" s="31">
        <v>0</v>
      </c>
      <c r="MP7" s="31">
        <v>0.87323895228000048</v>
      </c>
      <c r="MQ7" s="31">
        <v>0</v>
      </c>
      <c r="MR7" s="31">
        <v>0</v>
      </c>
      <c r="MS7" s="31">
        <v>0.83323019673000498</v>
      </c>
      <c r="MT7" s="31">
        <v>0.26067149369000042</v>
      </c>
      <c r="MU7" s="31">
        <v>0</v>
      </c>
      <c r="MV7" s="31">
        <v>0.52875772365000107</v>
      </c>
      <c r="MW7" s="31">
        <v>0.77005261762999899</v>
      </c>
      <c r="MX7" s="31">
        <v>0.64176489776999901</v>
      </c>
      <c r="MY7" s="31">
        <v>0</v>
      </c>
      <c r="MZ7" s="31">
        <v>0</v>
      </c>
      <c r="NA7" s="31">
        <v>0</v>
      </c>
      <c r="NB7" s="31">
        <v>0</v>
      </c>
      <c r="NC7" s="31">
        <v>0</v>
      </c>
      <c r="ND7" s="31">
        <v>0.21121062011000016</v>
      </c>
      <c r="NE7" s="31">
        <v>0</v>
      </c>
      <c r="NF7" s="31">
        <v>0</v>
      </c>
      <c r="NG7" s="31">
        <v>0.3944878535399996</v>
      </c>
      <c r="NH7" s="31">
        <v>0.98442197298999923</v>
      </c>
      <c r="NI7" s="31">
        <v>1.1369864172999979</v>
      </c>
      <c r="NJ7" s="31">
        <v>4.7964903119999999E-2</v>
      </c>
      <c r="NK7" s="31">
        <v>1.3484542122899987</v>
      </c>
      <c r="NL7" s="31">
        <v>0</v>
      </c>
      <c r="NM7" s="31">
        <v>0.31848299725999968</v>
      </c>
      <c r="NN7" s="31">
        <v>0</v>
      </c>
      <c r="NO7" s="31">
        <v>0</v>
      </c>
      <c r="NP7" s="31">
        <v>4.2921860749999992E-2</v>
      </c>
      <c r="NQ7" s="31">
        <v>0.13124162244000004</v>
      </c>
      <c r="NR7" s="31">
        <v>0</v>
      </c>
      <c r="NS7" s="31">
        <v>2.4246185144099979</v>
      </c>
      <c r="NT7" s="31">
        <v>1.7873679075500013</v>
      </c>
      <c r="NU7" s="31">
        <v>1.7896294447700036</v>
      </c>
      <c r="NV7" s="31">
        <v>0.26217874387000006</v>
      </c>
      <c r="NW7" s="31">
        <v>0.12297449070999997</v>
      </c>
    </row>
    <row r="8" spans="1:387">
      <c r="A8" s="31" t="s">
        <v>393</v>
      </c>
      <c r="B8" s="31"/>
      <c r="C8" s="31"/>
      <c r="D8" s="31"/>
      <c r="E8" s="31"/>
      <c r="F8" s="31"/>
      <c r="G8" s="31"/>
      <c r="H8" s="31"/>
      <c r="I8" s="31"/>
      <c r="J8" s="31"/>
      <c r="K8" s="31"/>
      <c r="L8" s="31"/>
      <c r="M8" s="31"/>
      <c r="N8" s="31"/>
      <c r="O8" s="31"/>
      <c r="P8" s="31"/>
      <c r="Q8" s="31"/>
      <c r="R8" s="31"/>
      <c r="S8" s="31">
        <v>115.19782021694024</v>
      </c>
      <c r="T8" s="31">
        <v>13.747892244179942</v>
      </c>
      <c r="U8" s="31">
        <v>1.9930294991700004</v>
      </c>
      <c r="V8" s="31">
        <v>5.3994772977700096</v>
      </c>
      <c r="W8" s="31">
        <v>34.635708870120006</v>
      </c>
      <c r="X8" s="31">
        <v>5.8088443727299861</v>
      </c>
      <c r="Y8" s="31">
        <v>4.0188348554600131</v>
      </c>
      <c r="Z8" s="31">
        <v>15.799375677090026</v>
      </c>
      <c r="AA8" s="31">
        <v>3.1869426566499959</v>
      </c>
      <c r="AB8" s="31">
        <v>12.25412614516001</v>
      </c>
      <c r="AC8" s="31">
        <v>1.0527319900100003</v>
      </c>
      <c r="AD8" s="31">
        <v>5.5967906323799914</v>
      </c>
      <c r="AE8" s="31">
        <v>12.320792475379939</v>
      </c>
      <c r="AF8" s="31">
        <v>11.704053574270006</v>
      </c>
      <c r="AG8" s="31">
        <v>1.427099593239999</v>
      </c>
      <c r="AH8" s="31">
        <v>1.133610755379995</v>
      </c>
      <c r="AI8" s="31">
        <v>0.85941715756000081</v>
      </c>
      <c r="AJ8" s="31">
        <v>0</v>
      </c>
      <c r="AK8" s="31">
        <v>4.318649886500018</v>
      </c>
      <c r="AL8" s="31">
        <v>1.080829125190002</v>
      </c>
      <c r="AM8" s="31">
        <v>9.6480597579500031</v>
      </c>
      <c r="AN8" s="31">
        <v>14.344762113249995</v>
      </c>
      <c r="AO8" s="31">
        <v>1.0150920801000014</v>
      </c>
      <c r="AP8" s="31">
        <v>0</v>
      </c>
      <c r="AQ8" s="31">
        <v>6.6589742496100213</v>
      </c>
      <c r="AR8" s="31">
        <v>2.3165835746299996</v>
      </c>
      <c r="AS8" s="31">
        <v>0.46999055017000019</v>
      </c>
      <c r="AT8" s="31">
        <v>1.0299469761800024</v>
      </c>
      <c r="AU8" s="31">
        <v>0.41770871916999924</v>
      </c>
      <c r="AV8" s="31">
        <v>0.6966169614600014</v>
      </c>
      <c r="AW8" s="31">
        <v>0.68971614643000223</v>
      </c>
      <c r="AX8" s="31">
        <v>2.2687621857400018</v>
      </c>
      <c r="AY8" s="31">
        <v>1.5281629587700027</v>
      </c>
      <c r="AZ8" s="31">
        <v>0.2139033529800001</v>
      </c>
      <c r="BA8" s="31">
        <v>3.9603211782100023</v>
      </c>
      <c r="BB8" s="31">
        <v>11.033621762750023</v>
      </c>
      <c r="BC8" s="31">
        <v>1.4877957725499993</v>
      </c>
      <c r="BD8" s="31">
        <v>0.25893104096000019</v>
      </c>
      <c r="BE8" s="31">
        <v>0.15985542463000002</v>
      </c>
      <c r="BF8" s="31">
        <v>2.7681599059500144</v>
      </c>
      <c r="BG8" s="31">
        <v>1.6964758522299985</v>
      </c>
      <c r="BH8" s="31">
        <v>0.22575034452999973</v>
      </c>
      <c r="BI8" s="31">
        <v>2.2886555487300062</v>
      </c>
      <c r="BJ8" s="31">
        <v>2.8484457939399945</v>
      </c>
      <c r="BK8" s="31">
        <v>2.0477404992299952</v>
      </c>
      <c r="BL8" s="31">
        <v>3.1470678491599986</v>
      </c>
      <c r="BM8" s="31">
        <v>0</v>
      </c>
      <c r="BN8" s="31">
        <v>0</v>
      </c>
      <c r="BO8" s="31">
        <v>0</v>
      </c>
      <c r="BP8" s="31">
        <v>0</v>
      </c>
      <c r="BQ8" s="31">
        <v>0.26052736651999975</v>
      </c>
      <c r="BR8" s="31">
        <v>4.406364762999992</v>
      </c>
      <c r="BS8" s="31">
        <v>0</v>
      </c>
      <c r="BT8" s="31">
        <v>1.190423425119999</v>
      </c>
      <c r="BU8" s="31">
        <v>0</v>
      </c>
      <c r="BV8" s="31">
        <v>0</v>
      </c>
      <c r="BW8" s="31">
        <v>0</v>
      </c>
      <c r="BX8" s="31">
        <v>0</v>
      </c>
      <c r="BY8" s="31">
        <v>0</v>
      </c>
      <c r="BZ8" s="31">
        <v>0</v>
      </c>
      <c r="CA8" s="31">
        <v>0</v>
      </c>
      <c r="CB8" s="31">
        <v>0</v>
      </c>
      <c r="CC8" s="31">
        <v>2.6879457140500058</v>
      </c>
      <c r="CD8" s="31">
        <v>0</v>
      </c>
      <c r="CE8" s="31">
        <v>0</v>
      </c>
      <c r="CF8" s="31">
        <v>0</v>
      </c>
      <c r="CG8" s="31">
        <v>0.56737538982000002</v>
      </c>
      <c r="CH8" s="31">
        <v>0.22352132588999993</v>
      </c>
      <c r="CI8" s="31">
        <v>7.4484027067600014</v>
      </c>
      <c r="CJ8" s="31">
        <v>0.24917343044000009</v>
      </c>
      <c r="CK8" s="31">
        <v>0.45222422296999909</v>
      </c>
      <c r="CL8" s="31">
        <v>0</v>
      </c>
      <c r="CM8" s="31">
        <v>0</v>
      </c>
      <c r="CN8" s="31">
        <v>0</v>
      </c>
      <c r="CO8" s="31">
        <v>0</v>
      </c>
      <c r="CP8" s="31">
        <v>0</v>
      </c>
      <c r="CQ8" s="31">
        <v>8.5801986159999913E-2</v>
      </c>
      <c r="CR8" s="31">
        <v>3.981761451510005</v>
      </c>
      <c r="CS8" s="31">
        <v>0.14270074088999971</v>
      </c>
      <c r="CT8" s="31">
        <v>0.10838649477999994</v>
      </c>
      <c r="CU8" s="31">
        <v>1.0293703614499989</v>
      </c>
      <c r="CV8" s="31">
        <v>3.1458231499999996E-2</v>
      </c>
      <c r="CW8" s="31">
        <v>9.4665572884200078</v>
      </c>
      <c r="CX8" s="31">
        <v>0.18150240300000001</v>
      </c>
      <c r="CY8" s="31">
        <v>13.522611362790022</v>
      </c>
      <c r="CZ8" s="31">
        <v>0.82215100198999991</v>
      </c>
      <c r="DA8" s="31">
        <v>0.53088323207999932</v>
      </c>
      <c r="DB8" s="31">
        <v>0.48420853380000006</v>
      </c>
      <c r="DC8" s="31">
        <v>0</v>
      </c>
      <c r="DD8" s="31">
        <v>0</v>
      </c>
      <c r="DE8" s="31">
        <v>0</v>
      </c>
      <c r="DF8" s="31">
        <v>0</v>
      </c>
      <c r="DG8" s="31">
        <v>2.7044043181799897</v>
      </c>
      <c r="DH8" s="31">
        <v>1.7476612813999977</v>
      </c>
      <c r="DI8" s="31">
        <v>1.5691719936099995</v>
      </c>
      <c r="DJ8" s="31">
        <v>0.1467063496399999</v>
      </c>
      <c r="DK8" s="31">
        <v>0.49102115402999991</v>
      </c>
      <c r="DL8" s="31">
        <v>2.0600275816799996</v>
      </c>
      <c r="DM8" s="31">
        <v>0.21199201649999994</v>
      </c>
      <c r="DN8" s="31">
        <v>4.4563464540000028E-2</v>
      </c>
      <c r="DO8" s="31">
        <v>0.46999055017000019</v>
      </c>
      <c r="DP8" s="31">
        <v>0.69283461376000011</v>
      </c>
      <c r="DQ8" s="31">
        <v>0.27595322416999979</v>
      </c>
      <c r="DR8" s="31">
        <v>6.1157747540000008E-2</v>
      </c>
      <c r="DS8" s="31">
        <v>1.5093770839999993E-2</v>
      </c>
      <c r="DT8" s="31">
        <v>0</v>
      </c>
      <c r="DU8" s="31">
        <v>0</v>
      </c>
      <c r="DV8" s="31">
        <v>0.45556673487999844</v>
      </c>
      <c r="DW8" s="31">
        <v>0.23414954960000006</v>
      </c>
      <c r="DX8" s="31">
        <v>0.94391274674999992</v>
      </c>
      <c r="DY8" s="31">
        <v>0.30137738604999997</v>
      </c>
      <c r="DZ8" s="31">
        <v>1.0234752876600008</v>
      </c>
      <c r="EA8" s="31">
        <v>0.78560201939999541</v>
      </c>
      <c r="EB8" s="31">
        <v>0.56715781968999956</v>
      </c>
      <c r="EC8" s="31">
        <v>0.17538505714999991</v>
      </c>
      <c r="ED8" s="31">
        <v>3.0542668460100026</v>
      </c>
      <c r="EE8" s="31">
        <v>9.1199201139999991E-2</v>
      </c>
      <c r="EF8" s="31">
        <v>0.21287436212999988</v>
      </c>
      <c r="EG8" s="31">
        <v>9.5907509000000006E-4</v>
      </c>
      <c r="EH8" s="31">
        <v>0.92092666408000168</v>
      </c>
      <c r="EI8" s="31">
        <v>5.396548853860013</v>
      </c>
      <c r="EJ8" s="31">
        <v>1.9164464964600061</v>
      </c>
      <c r="EK8" s="31">
        <v>2.7997049949100061</v>
      </c>
      <c r="EL8" s="31">
        <v>0</v>
      </c>
      <c r="EM8" s="31">
        <v>0</v>
      </c>
      <c r="EN8" s="31">
        <v>0.33562286906000005</v>
      </c>
      <c r="EO8" s="31">
        <v>0</v>
      </c>
      <c r="EP8" s="31">
        <v>0</v>
      </c>
      <c r="EQ8" s="31">
        <v>0</v>
      </c>
      <c r="ER8" s="31">
        <v>0.25893104096000019</v>
      </c>
      <c r="ES8" s="31">
        <v>0.15985542463000002</v>
      </c>
      <c r="ET8" s="31">
        <v>2.7681599059500144</v>
      </c>
      <c r="EU8" s="31">
        <v>0.51416783816000045</v>
      </c>
      <c r="EV8" s="31">
        <v>0.16949012002999991</v>
      </c>
      <c r="EW8" s="31">
        <v>0.64226865995000126</v>
      </c>
      <c r="EX8" s="31">
        <v>0.33061398439000045</v>
      </c>
      <c r="EY8" s="31">
        <v>3.9934315809999989E-2</v>
      </c>
      <c r="EZ8" s="31">
        <v>0.19077530252999977</v>
      </c>
      <c r="FA8" s="31">
        <v>0</v>
      </c>
      <c r="FB8" s="31">
        <v>3.4975022210000019E-2</v>
      </c>
      <c r="FC8" s="31">
        <v>0.4788311618799998</v>
      </c>
      <c r="FD8" s="31">
        <v>0.30415167844000013</v>
      </c>
      <c r="FE8" s="31">
        <v>0.82433985263000231</v>
      </c>
      <c r="FF8" s="31">
        <v>0.681333298360002</v>
      </c>
      <c r="FG8" s="31">
        <v>0</v>
      </c>
      <c r="FH8" s="31">
        <v>0.99613702829000161</v>
      </c>
      <c r="FI8" s="31">
        <v>1.12648083764</v>
      </c>
      <c r="FJ8" s="31">
        <v>0</v>
      </c>
      <c r="FK8" s="31">
        <v>0.5941898057199988</v>
      </c>
      <c r="FL8" s="31">
        <v>0.78159132279000032</v>
      </c>
      <c r="FM8" s="31">
        <v>0.67196005814999993</v>
      </c>
      <c r="FN8" s="31">
        <v>0</v>
      </c>
      <c r="FO8" s="31">
        <v>0</v>
      </c>
      <c r="FP8" s="31">
        <v>0</v>
      </c>
      <c r="FQ8" s="31">
        <v>0</v>
      </c>
      <c r="FR8" s="31">
        <v>0</v>
      </c>
      <c r="FS8" s="31">
        <v>0.26052736651999975</v>
      </c>
      <c r="FT8" s="31">
        <v>3.9265821373299952</v>
      </c>
      <c r="FU8" s="31">
        <v>0</v>
      </c>
      <c r="FV8" s="31">
        <v>0.47978475941000037</v>
      </c>
      <c r="FW8" s="31">
        <v>0</v>
      </c>
      <c r="FX8" s="31">
        <v>0</v>
      </c>
      <c r="FY8" s="31">
        <v>0</v>
      </c>
      <c r="FZ8" s="31">
        <v>0</v>
      </c>
      <c r="GA8" s="31">
        <v>0</v>
      </c>
      <c r="GB8" s="31">
        <v>1.190423425119999</v>
      </c>
      <c r="GC8" s="31">
        <v>0</v>
      </c>
      <c r="GD8" s="31">
        <v>0</v>
      </c>
      <c r="GE8" s="31">
        <v>0</v>
      </c>
      <c r="GF8" s="31">
        <v>0</v>
      </c>
      <c r="GG8" s="31">
        <v>0</v>
      </c>
      <c r="GH8" s="31">
        <v>0</v>
      </c>
      <c r="GI8" s="31">
        <v>0</v>
      </c>
      <c r="GJ8" s="31">
        <v>0</v>
      </c>
      <c r="GK8" s="31">
        <v>0</v>
      </c>
      <c r="GL8" s="31">
        <v>0</v>
      </c>
      <c r="GM8" s="31">
        <v>0</v>
      </c>
      <c r="GN8" s="31">
        <v>0</v>
      </c>
      <c r="GO8" s="31">
        <v>0</v>
      </c>
      <c r="GP8" s="31">
        <v>0</v>
      </c>
      <c r="GQ8" s="31">
        <v>0</v>
      </c>
      <c r="GR8" s="31">
        <v>0</v>
      </c>
      <c r="GS8" s="31">
        <v>0</v>
      </c>
      <c r="GT8" s="31">
        <v>0</v>
      </c>
      <c r="GU8" s="31">
        <v>0</v>
      </c>
      <c r="GV8" s="31">
        <v>0</v>
      </c>
      <c r="GW8" s="31">
        <v>0</v>
      </c>
      <c r="GX8" s="31">
        <v>0</v>
      </c>
      <c r="GY8" s="31">
        <v>0</v>
      </c>
      <c r="GZ8" s="31">
        <v>0</v>
      </c>
      <c r="HA8" s="31">
        <v>0</v>
      </c>
      <c r="HB8" s="31">
        <v>0</v>
      </c>
      <c r="HC8" s="31">
        <v>0</v>
      </c>
      <c r="HD8" s="31">
        <v>0</v>
      </c>
      <c r="HE8" s="31">
        <v>0</v>
      </c>
      <c r="HF8" s="31">
        <v>0</v>
      </c>
      <c r="HG8" s="31">
        <v>0</v>
      </c>
      <c r="HH8" s="31">
        <v>0</v>
      </c>
      <c r="HI8" s="31">
        <v>0</v>
      </c>
      <c r="HJ8" s="31">
        <v>0</v>
      </c>
      <c r="HK8" s="31">
        <v>0</v>
      </c>
      <c r="HL8" s="31">
        <v>0</v>
      </c>
      <c r="HM8" s="31">
        <v>0</v>
      </c>
      <c r="HN8" s="31">
        <v>0</v>
      </c>
      <c r="HO8" s="31">
        <v>0</v>
      </c>
      <c r="HP8" s="31">
        <v>0</v>
      </c>
      <c r="HQ8" s="31">
        <v>0</v>
      </c>
      <c r="HR8" s="31">
        <v>0</v>
      </c>
      <c r="HS8" s="31">
        <v>0</v>
      </c>
      <c r="HT8" s="31">
        <v>0</v>
      </c>
      <c r="HU8" s="31">
        <v>0</v>
      </c>
      <c r="HV8" s="31">
        <v>0</v>
      </c>
      <c r="HW8" s="31">
        <v>0</v>
      </c>
      <c r="HX8" s="31">
        <v>0</v>
      </c>
      <c r="HY8" s="31">
        <v>0</v>
      </c>
      <c r="HZ8" s="31">
        <v>0</v>
      </c>
      <c r="IA8" s="31">
        <v>1.2118520905599979</v>
      </c>
      <c r="IB8" s="31">
        <v>0</v>
      </c>
      <c r="IC8" s="31">
        <v>5.3870388889999982E-2</v>
      </c>
      <c r="ID8" s="31">
        <v>0</v>
      </c>
      <c r="IE8" s="31">
        <v>1.4222167459099979</v>
      </c>
      <c r="IF8" s="31">
        <v>0</v>
      </c>
      <c r="IG8" s="31">
        <v>0</v>
      </c>
      <c r="IH8" s="31">
        <v>0</v>
      </c>
      <c r="II8" s="31">
        <v>0</v>
      </c>
      <c r="IJ8" s="31">
        <v>0</v>
      </c>
      <c r="IK8" s="31">
        <v>0</v>
      </c>
      <c r="IL8" s="31">
        <v>0.34830309790999869</v>
      </c>
      <c r="IM8" s="31">
        <v>0.21907225315000012</v>
      </c>
      <c r="IN8" s="31">
        <v>0.22352132588999993</v>
      </c>
      <c r="IO8" s="31">
        <v>0</v>
      </c>
      <c r="IP8" s="31">
        <v>3.6379373010399996</v>
      </c>
      <c r="IQ8" s="31">
        <v>1.8257911056499954</v>
      </c>
      <c r="IR8" s="31">
        <v>1.9846698377900054</v>
      </c>
      <c r="IS8" s="31">
        <v>0.24917343044000009</v>
      </c>
      <c r="IT8" s="31">
        <v>0.45222422296999909</v>
      </c>
      <c r="IU8" s="31">
        <v>0</v>
      </c>
      <c r="IV8" s="31">
        <v>0</v>
      </c>
      <c r="IW8" s="31">
        <v>0</v>
      </c>
      <c r="IX8" s="31">
        <v>0</v>
      </c>
      <c r="IY8" s="31">
        <v>0</v>
      </c>
      <c r="IZ8" s="31">
        <v>0</v>
      </c>
      <c r="JA8" s="31">
        <v>0</v>
      </c>
      <c r="JB8" s="31">
        <v>8.5801986159999913E-2</v>
      </c>
      <c r="JC8" s="31">
        <v>1.1829337852499984</v>
      </c>
      <c r="JD8" s="31">
        <v>2.233572867879996</v>
      </c>
      <c r="JE8" s="31">
        <v>0.41795888370999995</v>
      </c>
      <c r="JF8" s="31">
        <v>0.14270074088999971</v>
      </c>
      <c r="JG8" s="31">
        <v>0.10838649477999994</v>
      </c>
      <c r="JH8" s="31">
        <v>0.32759687267000032</v>
      </c>
      <c r="JI8" s="31">
        <v>0.53904934890000034</v>
      </c>
      <c r="JJ8" s="31">
        <v>0.16271882638999979</v>
      </c>
      <c r="JK8" s="31">
        <v>3.1458231499999996E-2</v>
      </c>
      <c r="JL8" s="31">
        <v>9.4665572884200078</v>
      </c>
      <c r="JM8" s="31">
        <v>0.18150240300000001</v>
      </c>
      <c r="JN8" s="31">
        <v>13.522611362790022</v>
      </c>
      <c r="JO8" s="31">
        <v>0.50062155006999998</v>
      </c>
      <c r="JP8" s="31">
        <v>0.32152945192000004</v>
      </c>
      <c r="JQ8" s="31">
        <v>0.53088323207999932</v>
      </c>
      <c r="JR8" s="31">
        <v>0.48420853380000006</v>
      </c>
      <c r="JS8" s="31">
        <v>0</v>
      </c>
      <c r="JT8" s="31">
        <v>0</v>
      </c>
      <c r="JU8" s="31">
        <v>0</v>
      </c>
      <c r="JV8" s="31">
        <v>0</v>
      </c>
      <c r="JW8" s="31">
        <v>2.7044043181799897</v>
      </c>
      <c r="JX8" s="31">
        <v>0</v>
      </c>
      <c r="JY8" s="31">
        <v>0</v>
      </c>
      <c r="JZ8" s="31">
        <v>1.5691719936099995</v>
      </c>
      <c r="KA8" s="31">
        <v>0.1467063496399999</v>
      </c>
      <c r="KB8" s="31">
        <v>0.49102115402999991</v>
      </c>
      <c r="KC8" s="31">
        <v>2.0600275816799996</v>
      </c>
      <c r="KD8" s="31">
        <v>0.21199201649999994</v>
      </c>
      <c r="KE8" s="31">
        <v>4.4563464540000028E-2</v>
      </c>
      <c r="KF8" s="31">
        <v>0.46999055017000019</v>
      </c>
      <c r="KG8" s="31">
        <v>0.18208555375999999</v>
      </c>
      <c r="KH8" s="31">
        <v>0.24914101184999998</v>
      </c>
      <c r="KI8" s="31">
        <v>0</v>
      </c>
      <c r="KJ8" s="31">
        <v>0</v>
      </c>
      <c r="KK8" s="31">
        <v>0</v>
      </c>
      <c r="KL8" s="31">
        <v>0</v>
      </c>
      <c r="KM8" s="31">
        <v>0.24967557275999974</v>
      </c>
      <c r="KN8" s="31">
        <v>0.27595322416999979</v>
      </c>
      <c r="KO8" s="31">
        <v>6.1157747540000008E-2</v>
      </c>
      <c r="KP8" s="31">
        <v>0</v>
      </c>
      <c r="KQ8" s="31">
        <v>0</v>
      </c>
      <c r="KR8" s="31">
        <v>0</v>
      </c>
      <c r="KS8" s="31">
        <v>1.5093770839999993E-2</v>
      </c>
      <c r="KT8" s="31">
        <v>0</v>
      </c>
      <c r="KU8" s="31">
        <v>0</v>
      </c>
      <c r="KV8" s="31">
        <v>0</v>
      </c>
      <c r="KW8" s="31">
        <v>0</v>
      </c>
      <c r="KX8" s="31">
        <v>0</v>
      </c>
      <c r="KY8" s="31">
        <v>0</v>
      </c>
      <c r="KZ8" s="31">
        <v>0.94391274674999992</v>
      </c>
      <c r="LA8" s="31">
        <v>0.30137738604999997</v>
      </c>
      <c r="LB8" s="31">
        <v>1.0234752876600008</v>
      </c>
      <c r="LC8" s="31">
        <v>0.78560201939999541</v>
      </c>
      <c r="LD8" s="31">
        <v>0.56715781968999956</v>
      </c>
      <c r="LE8" s="31">
        <v>0</v>
      </c>
      <c r="LF8" s="31">
        <v>0</v>
      </c>
      <c r="LG8" s="31">
        <v>0.17538505714999991</v>
      </c>
      <c r="LH8" s="31">
        <v>1.0811375401299996</v>
      </c>
      <c r="LI8" s="31">
        <v>1.9731293058799997</v>
      </c>
      <c r="LJ8" s="31">
        <v>9.1199201139999991E-2</v>
      </c>
      <c r="LK8" s="31">
        <v>0.21287436212999988</v>
      </c>
      <c r="LL8" s="31">
        <v>9.5907509000000006E-4</v>
      </c>
      <c r="LM8" s="31">
        <v>0.92092666408000168</v>
      </c>
      <c r="LN8" s="31">
        <v>5.396548853860013</v>
      </c>
      <c r="LO8" s="31">
        <v>1.9164464964600061</v>
      </c>
      <c r="LP8" s="31">
        <v>2.7997049949100061</v>
      </c>
      <c r="LQ8" s="31">
        <v>0</v>
      </c>
      <c r="LR8" s="31">
        <v>0</v>
      </c>
      <c r="LS8" s="31">
        <v>0.33562286906000005</v>
      </c>
      <c r="LT8" s="31">
        <v>0</v>
      </c>
      <c r="LU8" s="31">
        <v>0</v>
      </c>
      <c r="LV8" s="31">
        <v>0</v>
      </c>
      <c r="LW8" s="31">
        <v>0</v>
      </c>
      <c r="LX8" s="31">
        <v>0.15985542463000002</v>
      </c>
      <c r="LY8" s="31">
        <v>2.7681599059500144</v>
      </c>
      <c r="LZ8" s="31">
        <v>0.13998783631000011</v>
      </c>
      <c r="MA8" s="31">
        <v>0.37417977148000037</v>
      </c>
      <c r="MB8" s="31">
        <v>0.16949012002999991</v>
      </c>
      <c r="MC8" s="31">
        <v>0</v>
      </c>
      <c r="MD8" s="31">
        <v>0.64226865995000126</v>
      </c>
      <c r="ME8" s="31">
        <v>0.33061398439000045</v>
      </c>
      <c r="MF8" s="31">
        <v>3.9934315809999989E-2</v>
      </c>
      <c r="MG8" s="31">
        <v>0.19077530252999977</v>
      </c>
      <c r="MH8" s="31">
        <v>0</v>
      </c>
      <c r="MI8" s="31">
        <v>0</v>
      </c>
      <c r="MJ8" s="31">
        <v>3.4975022210000019E-2</v>
      </c>
      <c r="MK8" s="31">
        <v>0.4788311618799998</v>
      </c>
      <c r="ML8" s="31">
        <v>0.30415167844000013</v>
      </c>
      <c r="MM8" s="31">
        <v>0.82433985263000231</v>
      </c>
      <c r="MN8" s="31">
        <v>0.681333298360002</v>
      </c>
      <c r="MO8" s="31">
        <v>0</v>
      </c>
      <c r="MP8" s="31">
        <v>0.99613702829000161</v>
      </c>
      <c r="MQ8" s="31">
        <v>0</v>
      </c>
      <c r="MR8" s="31">
        <v>0</v>
      </c>
      <c r="MS8" s="31">
        <v>0.82100393715000186</v>
      </c>
      <c r="MT8" s="31">
        <v>0.30549293233000085</v>
      </c>
      <c r="MU8" s="31">
        <v>0</v>
      </c>
      <c r="MV8" s="31">
        <v>0.5941898057199988</v>
      </c>
      <c r="MW8" s="31">
        <v>0.78159132279000032</v>
      </c>
      <c r="MX8" s="31">
        <v>0.67196005814999993</v>
      </c>
      <c r="MY8" s="31">
        <v>0</v>
      </c>
      <c r="MZ8" s="31">
        <v>0</v>
      </c>
      <c r="NA8" s="31">
        <v>0</v>
      </c>
      <c r="NB8" s="31">
        <v>0</v>
      </c>
      <c r="NC8" s="31">
        <v>0</v>
      </c>
      <c r="ND8" s="31">
        <v>0.26052736651999975</v>
      </c>
      <c r="NE8" s="31">
        <v>0</v>
      </c>
      <c r="NF8" s="31">
        <v>0</v>
      </c>
      <c r="NG8" s="31">
        <v>0.47978475941000037</v>
      </c>
      <c r="NH8" s="31">
        <v>1.190423425119999</v>
      </c>
      <c r="NI8" s="31">
        <v>1.2118520905599979</v>
      </c>
      <c r="NJ8" s="31">
        <v>5.3870388889999982E-2</v>
      </c>
      <c r="NK8" s="31">
        <v>1.4222167459099979</v>
      </c>
      <c r="NL8" s="31">
        <v>0</v>
      </c>
      <c r="NM8" s="31">
        <v>0.34830309790999869</v>
      </c>
      <c r="NN8" s="31">
        <v>0</v>
      </c>
      <c r="NO8" s="31">
        <v>0</v>
      </c>
      <c r="NP8" s="31">
        <v>6.6931891140000005E-2</v>
      </c>
      <c r="NQ8" s="31">
        <v>0.15658943474999995</v>
      </c>
      <c r="NR8" s="31">
        <v>0</v>
      </c>
      <c r="NS8" s="31">
        <v>3.6379373010399996</v>
      </c>
      <c r="NT8" s="31">
        <v>1.8257911056499954</v>
      </c>
      <c r="NU8" s="31">
        <v>1.9846698377900054</v>
      </c>
      <c r="NV8" s="31">
        <v>0.24917343044000009</v>
      </c>
      <c r="NW8" s="31">
        <v>0.11613884736999994</v>
      </c>
    </row>
    <row r="9" spans="1:387">
      <c r="A9" s="31" t="s">
        <v>394</v>
      </c>
      <c r="B9" s="31"/>
      <c r="C9" s="31"/>
      <c r="D9" s="31"/>
      <c r="E9" s="31"/>
      <c r="F9" s="31"/>
      <c r="G9" s="31"/>
      <c r="H9" s="31"/>
      <c r="I9" s="31"/>
      <c r="J9" s="31"/>
      <c r="K9" s="31"/>
      <c r="L9" s="31"/>
      <c r="M9" s="31"/>
      <c r="N9" s="31"/>
      <c r="O9" s="31"/>
      <c r="P9" s="31"/>
      <c r="Q9" s="31"/>
      <c r="R9" s="31"/>
      <c r="S9" s="31">
        <v>131.24122733441021</v>
      </c>
      <c r="T9" s="31">
        <v>14.153518929999981</v>
      </c>
      <c r="U9" s="31">
        <v>2.1387289220400021</v>
      </c>
      <c r="V9" s="31">
        <v>6.0245394820199989</v>
      </c>
      <c r="W9" s="31">
        <v>36.957069606280093</v>
      </c>
      <c r="X9" s="31">
        <v>6.6192192219299866</v>
      </c>
      <c r="Y9" s="31">
        <v>4.6278357500299858</v>
      </c>
      <c r="Z9" s="31">
        <v>20.423766342460038</v>
      </c>
      <c r="AA9" s="31">
        <v>3.3043873725399879</v>
      </c>
      <c r="AB9" s="31">
        <v>14.092386843390013</v>
      </c>
      <c r="AC9" s="31">
        <v>1.2104779123100002</v>
      </c>
      <c r="AD9" s="31">
        <v>6.7884237537200063</v>
      </c>
      <c r="AE9" s="31">
        <v>12.690917653890009</v>
      </c>
      <c r="AF9" s="31">
        <v>14.900872722180031</v>
      </c>
      <c r="AG9" s="31">
        <v>1.462604532269995</v>
      </c>
      <c r="AH9" s="31">
        <v>1.2826793033500019</v>
      </c>
      <c r="AI9" s="31">
        <v>0.85605047632999898</v>
      </c>
      <c r="AJ9" s="31">
        <v>0</v>
      </c>
      <c r="AK9" s="31">
        <v>4.8448407587500153</v>
      </c>
      <c r="AL9" s="31">
        <v>1.1796969745199997</v>
      </c>
      <c r="AM9" s="31">
        <v>9.0956736113999952</v>
      </c>
      <c r="AN9" s="31">
        <v>16.45823157264002</v>
      </c>
      <c r="AO9" s="31">
        <v>1.238179109079999</v>
      </c>
      <c r="AP9" s="31">
        <v>0</v>
      </c>
      <c r="AQ9" s="31">
        <v>6.8407129073500306</v>
      </c>
      <c r="AR9" s="31">
        <v>2.7046304740000009</v>
      </c>
      <c r="AS9" s="31">
        <v>0.4952316995599999</v>
      </c>
      <c r="AT9" s="31">
        <v>1.1248083324699985</v>
      </c>
      <c r="AU9" s="31">
        <v>0.46502002897999983</v>
      </c>
      <c r="AV9" s="31">
        <v>0.76299053938999961</v>
      </c>
      <c r="AW9" s="31">
        <v>0.78814387417000176</v>
      </c>
      <c r="AX9" s="31">
        <v>2.3942501388800013</v>
      </c>
      <c r="AY9" s="31">
        <v>2.0434013480400046</v>
      </c>
      <c r="AZ9" s="31">
        <v>0.18091811370000005</v>
      </c>
      <c r="BA9" s="31">
        <v>7.1679772959599921</v>
      </c>
      <c r="BB9" s="31">
        <v>12.141110288699993</v>
      </c>
      <c r="BC9" s="31">
        <v>1.8289698828100043</v>
      </c>
      <c r="BD9" s="31">
        <v>0.28756403058000041</v>
      </c>
      <c r="BE9" s="31">
        <v>0.17746294996000028</v>
      </c>
      <c r="BF9" s="31">
        <v>2.8393614245100021</v>
      </c>
      <c r="BG9" s="31">
        <v>2.1500894913600059</v>
      </c>
      <c r="BH9" s="31">
        <v>0.29411854766000012</v>
      </c>
      <c r="BI9" s="31">
        <v>2.523584616079988</v>
      </c>
      <c r="BJ9" s="31">
        <v>3.147966745690002</v>
      </c>
      <c r="BK9" s="31">
        <v>2.3404850292300061</v>
      </c>
      <c r="BL9" s="31">
        <v>3.6361418287600036</v>
      </c>
      <c r="BM9" s="31">
        <v>0</v>
      </c>
      <c r="BN9" s="31">
        <v>0</v>
      </c>
      <c r="BO9" s="31">
        <v>0</v>
      </c>
      <c r="BP9" s="31">
        <v>0</v>
      </c>
      <c r="BQ9" s="31">
        <v>0.31320385725000005</v>
      </c>
      <c r="BR9" s="31">
        <v>5.1881870310500018</v>
      </c>
      <c r="BS9" s="31">
        <v>0</v>
      </c>
      <c r="BT9" s="31">
        <v>1.6002351263999939</v>
      </c>
      <c r="BU9" s="31">
        <v>0</v>
      </c>
      <c r="BV9" s="31">
        <v>0</v>
      </c>
      <c r="BW9" s="31">
        <v>0</v>
      </c>
      <c r="BX9" s="31">
        <v>0</v>
      </c>
      <c r="BY9" s="31">
        <v>0</v>
      </c>
      <c r="BZ9" s="31">
        <v>0</v>
      </c>
      <c r="CA9" s="31">
        <v>0</v>
      </c>
      <c r="CB9" s="31">
        <v>0</v>
      </c>
      <c r="CC9" s="31">
        <v>2.8326221285299868</v>
      </c>
      <c r="CD9" s="31">
        <v>0</v>
      </c>
      <c r="CE9" s="31">
        <v>0</v>
      </c>
      <c r="CF9" s="31">
        <v>0</v>
      </c>
      <c r="CG9" s="31">
        <v>0.81904156902000314</v>
      </c>
      <c r="CH9" s="31">
        <v>0.31331722921000027</v>
      </c>
      <c r="CI9" s="31">
        <v>10.01982414808</v>
      </c>
      <c r="CJ9" s="31">
        <v>0.2545379376199996</v>
      </c>
      <c r="CK9" s="31">
        <v>0.60362332196999857</v>
      </c>
      <c r="CL9" s="31">
        <v>0</v>
      </c>
      <c r="CM9" s="31">
        <v>0</v>
      </c>
      <c r="CN9" s="31">
        <v>0</v>
      </c>
      <c r="CO9" s="31">
        <v>0</v>
      </c>
      <c r="CP9" s="31">
        <v>0</v>
      </c>
      <c r="CQ9" s="31">
        <v>9.7620034869999969E-2</v>
      </c>
      <c r="CR9" s="31">
        <v>4.4761731103400084</v>
      </c>
      <c r="CS9" s="31">
        <v>0.14371883550999978</v>
      </c>
      <c r="CT9" s="31">
        <v>0.12733097217000006</v>
      </c>
      <c r="CU9" s="31">
        <v>1.1244372007999979</v>
      </c>
      <c r="CV9" s="31">
        <v>3.3783871230000005E-2</v>
      </c>
      <c r="CW9" s="31">
        <v>8.8170930827500005</v>
      </c>
      <c r="CX9" s="31">
        <v>0.27858047104999994</v>
      </c>
      <c r="CY9" s="31">
        <v>15.632481510150035</v>
      </c>
      <c r="CZ9" s="31">
        <v>0.82575005161999926</v>
      </c>
      <c r="DA9" s="31">
        <v>0.55875096249999967</v>
      </c>
      <c r="DB9" s="31">
        <v>0.67942724309000047</v>
      </c>
      <c r="DC9" s="31">
        <v>0</v>
      </c>
      <c r="DD9" s="31">
        <v>0</v>
      </c>
      <c r="DE9" s="31">
        <v>0</v>
      </c>
      <c r="DF9" s="31">
        <v>0</v>
      </c>
      <c r="DG9" s="31">
        <v>2.8058273742099917</v>
      </c>
      <c r="DH9" s="31">
        <v>1.8318541329799989</v>
      </c>
      <c r="DI9" s="31">
        <v>1.5910923425299981</v>
      </c>
      <c r="DJ9" s="31">
        <v>0.15130997301999999</v>
      </c>
      <c r="DK9" s="31">
        <v>0.46062077790000022</v>
      </c>
      <c r="DL9" s="31">
        <v>2.3333213033100009</v>
      </c>
      <c r="DM9" s="31">
        <v>0.30158682216000016</v>
      </c>
      <c r="DN9" s="31">
        <v>6.9722466499999997E-2</v>
      </c>
      <c r="DO9" s="31">
        <v>0.4952316995599999</v>
      </c>
      <c r="DP9" s="31">
        <v>0.79921375306999964</v>
      </c>
      <c r="DQ9" s="31">
        <v>0.27568351453000017</v>
      </c>
      <c r="DR9" s="31">
        <v>4.9910239769999983E-2</v>
      </c>
      <c r="DS9" s="31">
        <v>1.0290758640000001E-2</v>
      </c>
      <c r="DT9" s="31">
        <v>0</v>
      </c>
      <c r="DU9" s="31">
        <v>0</v>
      </c>
      <c r="DV9" s="31">
        <v>0.4981767738600002</v>
      </c>
      <c r="DW9" s="31">
        <v>0.28996673175000021</v>
      </c>
      <c r="DX9" s="31">
        <v>0.99539309486999872</v>
      </c>
      <c r="DY9" s="31">
        <v>0.27942982892000007</v>
      </c>
      <c r="DZ9" s="31">
        <v>1.1194269949200011</v>
      </c>
      <c r="EA9" s="31">
        <v>1.1635207571899988</v>
      </c>
      <c r="EB9" s="31">
        <v>0.6409628216600004</v>
      </c>
      <c r="EC9" s="31">
        <v>0.23890507501000008</v>
      </c>
      <c r="ED9" s="31">
        <v>6.0115599171600005</v>
      </c>
      <c r="EE9" s="31">
        <v>0.22691631933000003</v>
      </c>
      <c r="EF9" s="31">
        <v>0.27291381429999989</v>
      </c>
      <c r="EG9" s="31">
        <v>8.5970842999999995E-4</v>
      </c>
      <c r="EH9" s="31">
        <v>1.0541299849599992</v>
      </c>
      <c r="EI9" s="31">
        <v>5.8292851532899945</v>
      </c>
      <c r="EJ9" s="31">
        <v>2.1753425786899938</v>
      </c>
      <c r="EK9" s="31">
        <v>3.0823570851500106</v>
      </c>
      <c r="EL9" s="31">
        <v>0</v>
      </c>
      <c r="EM9" s="31">
        <v>0</v>
      </c>
      <c r="EN9" s="31">
        <v>0.48563549990999977</v>
      </c>
      <c r="EO9" s="31">
        <v>0</v>
      </c>
      <c r="EP9" s="31">
        <v>0</v>
      </c>
      <c r="EQ9" s="31">
        <v>0</v>
      </c>
      <c r="ER9" s="31">
        <v>0.28756403058000041</v>
      </c>
      <c r="ES9" s="31">
        <v>0.17746294996000028</v>
      </c>
      <c r="ET9" s="31">
        <v>2.8393614245100021</v>
      </c>
      <c r="EU9" s="31">
        <v>0.6767845034699993</v>
      </c>
      <c r="EV9" s="31">
        <v>0.25055829689000003</v>
      </c>
      <c r="EW9" s="31">
        <v>0.7642302315299998</v>
      </c>
      <c r="EX9" s="31">
        <v>0.4105078293900008</v>
      </c>
      <c r="EY9" s="31">
        <v>4.800875265E-2</v>
      </c>
      <c r="EZ9" s="31">
        <v>0.23855815097000008</v>
      </c>
      <c r="FA9" s="31">
        <v>0</v>
      </c>
      <c r="FB9" s="31">
        <v>5.5560317349999951E-2</v>
      </c>
      <c r="FC9" s="31">
        <v>0.50872606914000018</v>
      </c>
      <c r="FD9" s="31">
        <v>0.3592543547699999</v>
      </c>
      <c r="FE9" s="31">
        <v>0.91655353162000075</v>
      </c>
      <c r="FF9" s="31">
        <v>0.73905300326000023</v>
      </c>
      <c r="FG9" s="31">
        <v>0</v>
      </c>
      <c r="FH9" s="31">
        <v>1.0849951789000007</v>
      </c>
      <c r="FI9" s="31">
        <v>1.1883505271299957</v>
      </c>
      <c r="FJ9" s="31">
        <v>0</v>
      </c>
      <c r="FK9" s="31">
        <v>0.69436542921999955</v>
      </c>
      <c r="FL9" s="31">
        <v>0.87351131726000319</v>
      </c>
      <c r="FM9" s="31">
        <v>0.77260829182000157</v>
      </c>
      <c r="FN9" s="31">
        <v>0</v>
      </c>
      <c r="FO9" s="31">
        <v>0</v>
      </c>
      <c r="FP9" s="31">
        <v>0</v>
      </c>
      <c r="FQ9" s="31">
        <v>0</v>
      </c>
      <c r="FR9" s="31">
        <v>0</v>
      </c>
      <c r="FS9" s="31">
        <v>0.31320385725000005</v>
      </c>
      <c r="FT9" s="31">
        <v>4.5754833140100075</v>
      </c>
      <c r="FU9" s="31">
        <v>0</v>
      </c>
      <c r="FV9" s="31">
        <v>0.61270214702000003</v>
      </c>
      <c r="FW9" s="31">
        <v>0</v>
      </c>
      <c r="FX9" s="31">
        <v>0</v>
      </c>
      <c r="FY9" s="31">
        <v>0</v>
      </c>
      <c r="FZ9" s="31">
        <v>0</v>
      </c>
      <c r="GA9" s="31">
        <v>0</v>
      </c>
      <c r="GB9" s="31">
        <v>1.6002351263999939</v>
      </c>
      <c r="GC9" s="31">
        <v>0</v>
      </c>
      <c r="GD9" s="31">
        <v>0</v>
      </c>
      <c r="GE9" s="31">
        <v>0</v>
      </c>
      <c r="GF9" s="31">
        <v>0</v>
      </c>
      <c r="GG9" s="31">
        <v>0</v>
      </c>
      <c r="GH9" s="31">
        <v>0</v>
      </c>
      <c r="GI9" s="31">
        <v>0</v>
      </c>
      <c r="GJ9" s="31">
        <v>0</v>
      </c>
      <c r="GK9" s="31">
        <v>0</v>
      </c>
      <c r="GL9" s="31">
        <v>0</v>
      </c>
      <c r="GM9" s="31">
        <v>0</v>
      </c>
      <c r="GN9" s="31">
        <v>0</v>
      </c>
      <c r="GO9" s="31">
        <v>0</v>
      </c>
      <c r="GP9" s="31">
        <v>0</v>
      </c>
      <c r="GQ9" s="31">
        <v>0</v>
      </c>
      <c r="GR9" s="31">
        <v>0</v>
      </c>
      <c r="GS9" s="31">
        <v>0</v>
      </c>
      <c r="GT9" s="31">
        <v>0</v>
      </c>
      <c r="GU9" s="31">
        <v>0</v>
      </c>
      <c r="GV9" s="31">
        <v>0</v>
      </c>
      <c r="GW9" s="31">
        <v>0</v>
      </c>
      <c r="GX9" s="31">
        <v>0</v>
      </c>
      <c r="GY9" s="31">
        <v>0</v>
      </c>
      <c r="GZ9" s="31">
        <v>0</v>
      </c>
      <c r="HA9" s="31">
        <v>0</v>
      </c>
      <c r="HB9" s="31">
        <v>0</v>
      </c>
      <c r="HC9" s="31">
        <v>0</v>
      </c>
      <c r="HD9" s="31">
        <v>0</v>
      </c>
      <c r="HE9" s="31">
        <v>0</v>
      </c>
      <c r="HF9" s="31">
        <v>0</v>
      </c>
      <c r="HG9" s="31">
        <v>0</v>
      </c>
      <c r="HH9" s="31">
        <v>0</v>
      </c>
      <c r="HI9" s="31">
        <v>0</v>
      </c>
      <c r="HJ9" s="31">
        <v>0</v>
      </c>
      <c r="HK9" s="31">
        <v>0</v>
      </c>
      <c r="HL9" s="31">
        <v>0</v>
      </c>
      <c r="HM9" s="31">
        <v>0</v>
      </c>
      <c r="HN9" s="31">
        <v>0</v>
      </c>
      <c r="HO9" s="31">
        <v>0</v>
      </c>
      <c r="HP9" s="31">
        <v>0</v>
      </c>
      <c r="HQ9" s="31">
        <v>0</v>
      </c>
      <c r="HR9" s="31">
        <v>0</v>
      </c>
      <c r="HS9" s="31">
        <v>0</v>
      </c>
      <c r="HT9" s="31">
        <v>0</v>
      </c>
      <c r="HU9" s="31">
        <v>0</v>
      </c>
      <c r="HV9" s="31">
        <v>0</v>
      </c>
      <c r="HW9" s="31">
        <v>0</v>
      </c>
      <c r="HX9" s="31">
        <v>0</v>
      </c>
      <c r="HY9" s="31">
        <v>0</v>
      </c>
      <c r="HZ9" s="31">
        <v>0</v>
      </c>
      <c r="IA9" s="31">
        <v>1.2758683996299953</v>
      </c>
      <c r="IB9" s="31">
        <v>0</v>
      </c>
      <c r="IC9" s="31">
        <v>5.634708451999991E-2</v>
      </c>
      <c r="ID9" s="31">
        <v>0</v>
      </c>
      <c r="IE9" s="31">
        <v>1.5004001342899989</v>
      </c>
      <c r="IF9" s="31">
        <v>0</v>
      </c>
      <c r="IG9" s="31">
        <v>0</v>
      </c>
      <c r="IH9" s="31">
        <v>0</v>
      </c>
      <c r="II9" s="31">
        <v>0</v>
      </c>
      <c r="IJ9" s="31">
        <v>0</v>
      </c>
      <c r="IK9" s="31">
        <v>0</v>
      </c>
      <c r="IL9" s="31">
        <v>0.49654365552000146</v>
      </c>
      <c r="IM9" s="31">
        <v>0.32250032950000068</v>
      </c>
      <c r="IN9" s="31">
        <v>0.31331722921000027</v>
      </c>
      <c r="IO9" s="31">
        <v>0</v>
      </c>
      <c r="IP9" s="31">
        <v>5.6138531688499791</v>
      </c>
      <c r="IQ9" s="31">
        <v>1.9499747963999985</v>
      </c>
      <c r="IR9" s="31">
        <v>2.4559979976099982</v>
      </c>
      <c r="IS9" s="31">
        <v>0.2545379376199996</v>
      </c>
      <c r="IT9" s="31">
        <v>0.60362332196999857</v>
      </c>
      <c r="IU9" s="31">
        <v>0</v>
      </c>
      <c r="IV9" s="31">
        <v>0</v>
      </c>
      <c r="IW9" s="31">
        <v>0</v>
      </c>
      <c r="IX9" s="31">
        <v>0</v>
      </c>
      <c r="IY9" s="31">
        <v>0</v>
      </c>
      <c r="IZ9" s="31">
        <v>0</v>
      </c>
      <c r="JA9" s="31">
        <v>0</v>
      </c>
      <c r="JB9" s="31">
        <v>9.7620034869999969E-2</v>
      </c>
      <c r="JC9" s="31">
        <v>1.4156188854999969</v>
      </c>
      <c r="JD9" s="31">
        <v>2.4800976290799945</v>
      </c>
      <c r="JE9" s="31">
        <v>0.42212483061999961</v>
      </c>
      <c r="JF9" s="31">
        <v>0.14371883550999978</v>
      </c>
      <c r="JG9" s="31">
        <v>0.12733097217000006</v>
      </c>
      <c r="JH9" s="31">
        <v>0.36239337212000045</v>
      </c>
      <c r="JI9" s="31">
        <v>0.60065719827000053</v>
      </c>
      <c r="JJ9" s="31">
        <v>0.16138375436000033</v>
      </c>
      <c r="JK9" s="31">
        <v>3.3783871230000005E-2</v>
      </c>
      <c r="JL9" s="31">
        <v>8.8170930827500005</v>
      </c>
      <c r="JM9" s="31">
        <v>0.27858047104999994</v>
      </c>
      <c r="JN9" s="31">
        <v>15.632481510150035</v>
      </c>
      <c r="JO9" s="31">
        <v>0.50117906194000017</v>
      </c>
      <c r="JP9" s="31">
        <v>0.32457112066000016</v>
      </c>
      <c r="JQ9" s="31">
        <v>0.55875096249999967</v>
      </c>
      <c r="JR9" s="31">
        <v>0.67942724309000047</v>
      </c>
      <c r="JS9" s="31">
        <v>0</v>
      </c>
      <c r="JT9" s="31">
        <v>0</v>
      </c>
      <c r="JU9" s="31">
        <v>0</v>
      </c>
      <c r="JV9" s="31">
        <v>0</v>
      </c>
      <c r="JW9" s="31">
        <v>2.8058273742099917</v>
      </c>
      <c r="JX9" s="31">
        <v>0</v>
      </c>
      <c r="JY9" s="31">
        <v>0</v>
      </c>
      <c r="JZ9" s="31">
        <v>1.5910923425299981</v>
      </c>
      <c r="KA9" s="31">
        <v>0.15130997301999999</v>
      </c>
      <c r="KB9" s="31">
        <v>0.46062077790000022</v>
      </c>
      <c r="KC9" s="31">
        <v>2.3333213033100009</v>
      </c>
      <c r="KD9" s="31">
        <v>0.30158682216000016</v>
      </c>
      <c r="KE9" s="31">
        <v>6.9722466499999997E-2</v>
      </c>
      <c r="KF9" s="31">
        <v>0.4952316995599999</v>
      </c>
      <c r="KG9" s="31">
        <v>0.18797264997999996</v>
      </c>
      <c r="KH9" s="31">
        <v>0.29856903103000021</v>
      </c>
      <c r="KI9" s="31">
        <v>0</v>
      </c>
      <c r="KJ9" s="31">
        <v>0</v>
      </c>
      <c r="KK9" s="31">
        <v>0</v>
      </c>
      <c r="KL9" s="31">
        <v>0</v>
      </c>
      <c r="KM9" s="31">
        <v>0.29808290045999997</v>
      </c>
      <c r="KN9" s="31">
        <v>0.27568351453000017</v>
      </c>
      <c r="KO9" s="31">
        <v>4.9910239769999983E-2</v>
      </c>
      <c r="KP9" s="31">
        <v>0</v>
      </c>
      <c r="KQ9" s="31">
        <v>0</v>
      </c>
      <c r="KR9" s="31">
        <v>0</v>
      </c>
      <c r="KS9" s="31">
        <v>1.0290758640000001E-2</v>
      </c>
      <c r="KT9" s="31">
        <v>0</v>
      </c>
      <c r="KU9" s="31">
        <v>0</v>
      </c>
      <c r="KV9" s="31">
        <v>0</v>
      </c>
      <c r="KW9" s="31">
        <v>0</v>
      </c>
      <c r="KX9" s="31">
        <v>0</v>
      </c>
      <c r="KY9" s="31">
        <v>0</v>
      </c>
      <c r="KZ9" s="31">
        <v>0.99539309486999872</v>
      </c>
      <c r="LA9" s="31">
        <v>0.27942982892000007</v>
      </c>
      <c r="LB9" s="31">
        <v>1.1194269949200011</v>
      </c>
      <c r="LC9" s="31">
        <v>1.1635207571899988</v>
      </c>
      <c r="LD9" s="31">
        <v>0.6409628216600004</v>
      </c>
      <c r="LE9" s="31">
        <v>0</v>
      </c>
      <c r="LF9" s="31">
        <v>0</v>
      </c>
      <c r="LG9" s="31">
        <v>0.23890507501000008</v>
      </c>
      <c r="LH9" s="31">
        <v>2.6160366786800009</v>
      </c>
      <c r="LI9" s="31">
        <v>3.39552323848</v>
      </c>
      <c r="LJ9" s="31">
        <v>0.22691631933000003</v>
      </c>
      <c r="LK9" s="31">
        <v>0.27291381429999989</v>
      </c>
      <c r="LL9" s="31">
        <v>8.5970842999999995E-4</v>
      </c>
      <c r="LM9" s="31">
        <v>1.0541299849599992</v>
      </c>
      <c r="LN9" s="31">
        <v>5.8292851532899945</v>
      </c>
      <c r="LO9" s="31">
        <v>2.1753425786899938</v>
      </c>
      <c r="LP9" s="31">
        <v>3.0823570851500106</v>
      </c>
      <c r="LQ9" s="31">
        <v>0</v>
      </c>
      <c r="LR9" s="31">
        <v>0</v>
      </c>
      <c r="LS9" s="31">
        <v>0.48563549990999977</v>
      </c>
      <c r="LT9" s="31">
        <v>0</v>
      </c>
      <c r="LU9" s="31">
        <v>0</v>
      </c>
      <c r="LV9" s="31">
        <v>0</v>
      </c>
      <c r="LW9" s="31">
        <v>0</v>
      </c>
      <c r="LX9" s="31">
        <v>0.17746294996000028</v>
      </c>
      <c r="LY9" s="31">
        <v>2.8393614245100021</v>
      </c>
      <c r="LZ9" s="31">
        <v>0.19042324210999992</v>
      </c>
      <c r="MA9" s="31">
        <v>0.48636072797999935</v>
      </c>
      <c r="MB9" s="31">
        <v>0.25055829689000003</v>
      </c>
      <c r="MC9" s="31">
        <v>0</v>
      </c>
      <c r="MD9" s="31">
        <v>0.7642302315299998</v>
      </c>
      <c r="ME9" s="31">
        <v>0.4105078293900008</v>
      </c>
      <c r="MF9" s="31">
        <v>4.800875265E-2</v>
      </c>
      <c r="MG9" s="31">
        <v>0.23855815097000008</v>
      </c>
      <c r="MH9" s="31">
        <v>0</v>
      </c>
      <c r="MI9" s="31">
        <v>0</v>
      </c>
      <c r="MJ9" s="31">
        <v>5.5560317349999951E-2</v>
      </c>
      <c r="MK9" s="31">
        <v>0.50872606914000018</v>
      </c>
      <c r="ML9" s="31">
        <v>0.3592543547699999</v>
      </c>
      <c r="MM9" s="31">
        <v>0.91655353162000075</v>
      </c>
      <c r="MN9" s="31">
        <v>0.73905300326000023</v>
      </c>
      <c r="MO9" s="31">
        <v>0</v>
      </c>
      <c r="MP9" s="31">
        <v>1.0849951789000007</v>
      </c>
      <c r="MQ9" s="31">
        <v>0</v>
      </c>
      <c r="MR9" s="31">
        <v>0</v>
      </c>
      <c r="MS9" s="31">
        <v>0.82657215503000159</v>
      </c>
      <c r="MT9" s="31">
        <v>0.36179652924000005</v>
      </c>
      <c r="MU9" s="31">
        <v>0</v>
      </c>
      <c r="MV9" s="31">
        <v>0.69436542921999955</v>
      </c>
      <c r="MW9" s="31">
        <v>0.87351131726000319</v>
      </c>
      <c r="MX9" s="31">
        <v>0.77260829182000157</v>
      </c>
      <c r="MY9" s="31">
        <v>0</v>
      </c>
      <c r="MZ9" s="31">
        <v>0</v>
      </c>
      <c r="NA9" s="31">
        <v>0</v>
      </c>
      <c r="NB9" s="31">
        <v>0</v>
      </c>
      <c r="NC9" s="31">
        <v>0</v>
      </c>
      <c r="ND9" s="31">
        <v>0.31320385725000005</v>
      </c>
      <c r="NE9" s="31">
        <v>0</v>
      </c>
      <c r="NF9" s="31">
        <v>0</v>
      </c>
      <c r="NG9" s="31">
        <v>0.61270214702000003</v>
      </c>
      <c r="NH9" s="31">
        <v>1.6002351263999939</v>
      </c>
      <c r="NI9" s="31">
        <v>1.2758683996299953</v>
      </c>
      <c r="NJ9" s="31">
        <v>5.634708451999991E-2</v>
      </c>
      <c r="NK9" s="31">
        <v>1.5004001342899989</v>
      </c>
      <c r="NL9" s="31">
        <v>0</v>
      </c>
      <c r="NM9" s="31">
        <v>0.49654365552000146</v>
      </c>
      <c r="NN9" s="31">
        <v>0</v>
      </c>
      <c r="NO9" s="31">
        <v>0</v>
      </c>
      <c r="NP9" s="31">
        <v>0.15364350318999997</v>
      </c>
      <c r="NQ9" s="31">
        <v>0.15967391226000013</v>
      </c>
      <c r="NR9" s="31">
        <v>0</v>
      </c>
      <c r="NS9" s="31">
        <v>5.6138531688499791</v>
      </c>
      <c r="NT9" s="31">
        <v>1.9499747963999985</v>
      </c>
      <c r="NU9" s="31">
        <v>2.4559979976099982</v>
      </c>
      <c r="NV9" s="31">
        <v>0.2545379376199996</v>
      </c>
      <c r="NW9" s="31">
        <v>0.11849394470000021</v>
      </c>
    </row>
    <row r="10" spans="1:387">
      <c r="A10" s="31" t="s">
        <v>395</v>
      </c>
      <c r="B10" s="31"/>
      <c r="C10" s="31"/>
      <c r="D10" s="31"/>
      <c r="E10" s="31"/>
      <c r="F10" s="31"/>
      <c r="G10" s="31"/>
      <c r="H10" s="31"/>
      <c r="I10" s="31"/>
      <c r="J10" s="31"/>
      <c r="K10" s="31"/>
      <c r="L10" s="31"/>
      <c r="M10" s="31"/>
      <c r="N10" s="31"/>
      <c r="O10" s="31"/>
      <c r="P10" s="31"/>
      <c r="Q10" s="31"/>
      <c r="R10" s="31"/>
      <c r="S10" s="31">
        <v>150.74623827082988</v>
      </c>
      <c r="T10" s="31">
        <v>14.505097664380054</v>
      </c>
      <c r="U10" s="31">
        <v>2.0673633380000083</v>
      </c>
      <c r="V10" s="31">
        <v>6.9011025191099904</v>
      </c>
      <c r="W10" s="31">
        <v>39.742464806860042</v>
      </c>
      <c r="X10" s="31">
        <v>7.6803584921000292</v>
      </c>
      <c r="Y10" s="31">
        <v>6.6193972767500187</v>
      </c>
      <c r="Z10" s="31">
        <v>23.868470828829945</v>
      </c>
      <c r="AA10" s="31">
        <v>3.3928940751300019</v>
      </c>
      <c r="AB10" s="31">
        <v>16.581945904149954</v>
      </c>
      <c r="AC10" s="31">
        <v>1.2642757678300005</v>
      </c>
      <c r="AD10" s="31">
        <v>8.1219387440200066</v>
      </c>
      <c r="AE10" s="31">
        <v>13.032210466300047</v>
      </c>
      <c r="AF10" s="31">
        <v>20.000926091960022</v>
      </c>
      <c r="AG10" s="31">
        <v>1.4728854730400038</v>
      </c>
      <c r="AH10" s="31">
        <v>1.3723987771100057</v>
      </c>
      <c r="AI10" s="31">
        <v>0.69496301228000057</v>
      </c>
      <c r="AJ10" s="31">
        <v>0</v>
      </c>
      <c r="AK10" s="31">
        <v>5.5804142711699942</v>
      </c>
      <c r="AL10" s="31">
        <v>1.3206893020399968</v>
      </c>
      <c r="AM10" s="31">
        <v>7.9826856373700128</v>
      </c>
      <c r="AN10" s="31">
        <v>19.082730247129987</v>
      </c>
      <c r="AO10" s="31">
        <v>1.611399297579998</v>
      </c>
      <c r="AP10" s="31">
        <v>0</v>
      </c>
      <c r="AQ10" s="31">
        <v>7.2564593095699781</v>
      </c>
      <c r="AR10" s="31">
        <v>3.1960919190599952</v>
      </c>
      <c r="AS10" s="31">
        <v>0.54234801887999873</v>
      </c>
      <c r="AT10" s="31">
        <v>1.1745399215199976</v>
      </c>
      <c r="AU10" s="31">
        <v>0.52176071892999998</v>
      </c>
      <c r="AV10" s="31">
        <v>0.86690772312000075</v>
      </c>
      <c r="AW10" s="31">
        <v>1.0341026811099996</v>
      </c>
      <c r="AX10" s="31">
        <v>2.9059381035499934</v>
      </c>
      <c r="AY10" s="31">
        <v>3.2456504606500056</v>
      </c>
      <c r="AZ10" s="31">
        <v>0.45325110693999987</v>
      </c>
      <c r="BA10" s="31">
        <v>9.0987055089399895</v>
      </c>
      <c r="BB10" s="31">
        <v>13.360046791579908</v>
      </c>
      <c r="BC10" s="31">
        <v>2.2475123189900001</v>
      </c>
      <c r="BD10" s="31">
        <v>0.30067559064000055</v>
      </c>
      <c r="BE10" s="31">
        <v>0.20928063415000001</v>
      </c>
      <c r="BF10" s="31">
        <v>2.8829437390000092</v>
      </c>
      <c r="BG10" s="31">
        <v>2.5346080011600032</v>
      </c>
      <c r="BH10" s="31">
        <v>0.49927208880000024</v>
      </c>
      <c r="BI10" s="31">
        <v>2.7745200363300047</v>
      </c>
      <c r="BJ10" s="31">
        <v>3.6664423569600113</v>
      </c>
      <c r="BK10" s="31">
        <v>2.6509737370499962</v>
      </c>
      <c r="BL10" s="31">
        <v>4.4561325316500016</v>
      </c>
      <c r="BM10" s="31">
        <v>0</v>
      </c>
      <c r="BN10" s="31">
        <v>0</v>
      </c>
      <c r="BO10" s="31">
        <v>0</v>
      </c>
      <c r="BP10" s="31">
        <v>0</v>
      </c>
      <c r="BQ10" s="31">
        <v>0.32070527381000002</v>
      </c>
      <c r="BR10" s="31">
        <v>6.2022448797499781</v>
      </c>
      <c r="BS10" s="31">
        <v>0</v>
      </c>
      <c r="BT10" s="31">
        <v>1.9196934822700007</v>
      </c>
      <c r="BU10" s="31">
        <v>0</v>
      </c>
      <c r="BV10" s="31">
        <v>0</v>
      </c>
      <c r="BW10" s="31">
        <v>0</v>
      </c>
      <c r="BX10" s="31">
        <v>0</v>
      </c>
      <c r="BY10" s="31">
        <v>0</v>
      </c>
      <c r="BZ10" s="31">
        <v>0</v>
      </c>
      <c r="CA10" s="31">
        <v>0</v>
      </c>
      <c r="CB10" s="31">
        <v>0</v>
      </c>
      <c r="CC10" s="31">
        <v>3.003721767580001</v>
      </c>
      <c r="CD10" s="31">
        <v>0</v>
      </c>
      <c r="CE10" s="31">
        <v>0</v>
      </c>
      <c r="CF10" s="31">
        <v>0</v>
      </c>
      <c r="CG10" s="31">
        <v>0.84248305384000099</v>
      </c>
      <c r="CH10" s="31">
        <v>0.33596546518999953</v>
      </c>
      <c r="CI10" s="31">
        <v>14.547216587300033</v>
      </c>
      <c r="CJ10" s="31">
        <v>0.33921131801999926</v>
      </c>
      <c r="CK10" s="31">
        <v>0.85199726449999924</v>
      </c>
      <c r="CL10" s="31">
        <v>0</v>
      </c>
      <c r="CM10" s="31">
        <v>0</v>
      </c>
      <c r="CN10" s="31">
        <v>0</v>
      </c>
      <c r="CO10" s="31">
        <v>0</v>
      </c>
      <c r="CP10" s="31">
        <v>0</v>
      </c>
      <c r="CQ10" s="31">
        <v>8.5232466620000044E-2</v>
      </c>
      <c r="CR10" s="31">
        <v>5.1854546440600116</v>
      </c>
      <c r="CS10" s="31">
        <v>0.15342830728000004</v>
      </c>
      <c r="CT10" s="31">
        <v>0.15630332163999983</v>
      </c>
      <c r="CU10" s="31">
        <v>1.2609627130799999</v>
      </c>
      <c r="CV10" s="31">
        <v>4.0432183450000062E-2</v>
      </c>
      <c r="CW10" s="31">
        <v>7.6268471788700074</v>
      </c>
      <c r="CX10" s="31">
        <v>0.35583838932000017</v>
      </c>
      <c r="CY10" s="31">
        <v>18.160576993520007</v>
      </c>
      <c r="CZ10" s="31">
        <v>0.92215349049000106</v>
      </c>
      <c r="DA10" s="31">
        <v>0.66835233127000093</v>
      </c>
      <c r="DB10" s="31">
        <v>0.94304705437000136</v>
      </c>
      <c r="DC10" s="31">
        <v>0</v>
      </c>
      <c r="DD10" s="31">
        <v>0</v>
      </c>
      <c r="DE10" s="31">
        <v>0</v>
      </c>
      <c r="DF10" s="31">
        <v>0</v>
      </c>
      <c r="DG10" s="31">
        <v>2.9233238911500026</v>
      </c>
      <c r="DH10" s="31">
        <v>2.018603442620003</v>
      </c>
      <c r="DI10" s="31">
        <v>1.7461459636999999</v>
      </c>
      <c r="DJ10" s="31">
        <v>0.14604668640000001</v>
      </c>
      <c r="DK10" s="31">
        <v>0.42233068323999973</v>
      </c>
      <c r="DL10" s="31">
        <v>2.8427752450999937</v>
      </c>
      <c r="DM10" s="31">
        <v>0.31193444834000006</v>
      </c>
      <c r="DN10" s="31">
        <v>4.1382762150000009E-2</v>
      </c>
      <c r="DO10" s="31">
        <v>0.54234801887999873</v>
      </c>
      <c r="DP10" s="31">
        <v>0.80913995533000038</v>
      </c>
      <c r="DQ10" s="31">
        <v>0.29746687543999989</v>
      </c>
      <c r="DR10" s="31">
        <v>6.793225636999993E-2</v>
      </c>
      <c r="DS10" s="31">
        <v>1.1942064970000006E-2</v>
      </c>
      <c r="DT10" s="31">
        <v>0</v>
      </c>
      <c r="DU10" s="31">
        <v>0</v>
      </c>
      <c r="DV10" s="31">
        <v>0.53856595952999953</v>
      </c>
      <c r="DW10" s="31">
        <v>0.49553554511999981</v>
      </c>
      <c r="DX10" s="31">
        <v>1.3634604280000031</v>
      </c>
      <c r="DY10" s="31">
        <v>0.34351793426000032</v>
      </c>
      <c r="DZ10" s="31">
        <v>1.1989635127699987</v>
      </c>
      <c r="EA10" s="31">
        <v>2.1311701550200057</v>
      </c>
      <c r="EB10" s="31">
        <v>0.78958286817999901</v>
      </c>
      <c r="EC10" s="31">
        <v>0.32488512768999978</v>
      </c>
      <c r="ED10" s="31">
        <v>7.8486167565699994</v>
      </c>
      <c r="EE10" s="31">
        <v>0.20285454660000007</v>
      </c>
      <c r="EF10" s="31">
        <v>0.26842465663000004</v>
      </c>
      <c r="EG10" s="31">
        <v>1.1009956999999999E-4</v>
      </c>
      <c r="EH10" s="31">
        <v>1.0286947011400003</v>
      </c>
      <c r="EI10" s="31">
        <v>6.1781708259599952</v>
      </c>
      <c r="EJ10" s="31">
        <v>2.4498531427800065</v>
      </c>
      <c r="EK10" s="31">
        <v>3.7033381962400092</v>
      </c>
      <c r="EL10" s="31">
        <v>0</v>
      </c>
      <c r="EM10" s="31">
        <v>0</v>
      </c>
      <c r="EN10" s="31">
        <v>0.7207160687899995</v>
      </c>
      <c r="EO10" s="31">
        <v>0</v>
      </c>
      <c r="EP10" s="31">
        <v>0</v>
      </c>
      <c r="EQ10" s="31">
        <v>0</v>
      </c>
      <c r="ER10" s="31">
        <v>0.30067559064000055</v>
      </c>
      <c r="ES10" s="31">
        <v>0.20928063415000001</v>
      </c>
      <c r="ET10" s="31">
        <v>2.8829437390000092</v>
      </c>
      <c r="EU10" s="31">
        <v>0.79873823782000053</v>
      </c>
      <c r="EV10" s="31">
        <v>0.27306254940000041</v>
      </c>
      <c r="EW10" s="31">
        <v>0.91219350412999889</v>
      </c>
      <c r="EX10" s="31">
        <v>0.49987153459000017</v>
      </c>
      <c r="EY10" s="31">
        <v>5.0739588390000021E-2</v>
      </c>
      <c r="EZ10" s="31">
        <v>0.45803680692000043</v>
      </c>
      <c r="FA10" s="31">
        <v>0</v>
      </c>
      <c r="FB10" s="31">
        <v>4.1235171739999993E-2</v>
      </c>
      <c r="FC10" s="31">
        <v>0.54448928399999974</v>
      </c>
      <c r="FD10" s="31">
        <v>0.38997720148999959</v>
      </c>
      <c r="FE10" s="31">
        <v>1.0468174175400005</v>
      </c>
      <c r="FF10" s="31">
        <v>0.79323942399000025</v>
      </c>
      <c r="FG10" s="31">
        <v>0</v>
      </c>
      <c r="FH10" s="31">
        <v>1.3807664525600047</v>
      </c>
      <c r="FI10" s="31">
        <v>1.2697072502599955</v>
      </c>
      <c r="FJ10" s="31">
        <v>0</v>
      </c>
      <c r="FK10" s="31">
        <v>0.82586583019000048</v>
      </c>
      <c r="FL10" s="31">
        <v>0.96797630102999865</v>
      </c>
      <c r="FM10" s="31">
        <v>0.8571315497100005</v>
      </c>
      <c r="FN10" s="31">
        <v>0</v>
      </c>
      <c r="FO10" s="31">
        <v>0</v>
      </c>
      <c r="FP10" s="31">
        <v>0</v>
      </c>
      <c r="FQ10" s="31">
        <v>0</v>
      </c>
      <c r="FR10" s="31">
        <v>0</v>
      </c>
      <c r="FS10" s="31">
        <v>0.32070527381000002</v>
      </c>
      <c r="FT10" s="31">
        <v>5.4800224326500091</v>
      </c>
      <c r="FU10" s="31">
        <v>0</v>
      </c>
      <c r="FV10" s="31">
        <v>0.72222256915000071</v>
      </c>
      <c r="FW10" s="31">
        <v>0</v>
      </c>
      <c r="FX10" s="31">
        <v>0</v>
      </c>
      <c r="FY10" s="31">
        <v>0</v>
      </c>
      <c r="FZ10" s="31">
        <v>0</v>
      </c>
      <c r="GA10" s="31">
        <v>0</v>
      </c>
      <c r="GB10" s="31">
        <v>1.9196934822700007</v>
      </c>
      <c r="GC10" s="31">
        <v>0</v>
      </c>
      <c r="GD10" s="31">
        <v>0</v>
      </c>
      <c r="GE10" s="31">
        <v>0</v>
      </c>
      <c r="GF10" s="31">
        <v>0</v>
      </c>
      <c r="GG10" s="31">
        <v>0</v>
      </c>
      <c r="GH10" s="31">
        <v>0</v>
      </c>
      <c r="GI10" s="31">
        <v>0</v>
      </c>
      <c r="GJ10" s="31">
        <v>0</v>
      </c>
      <c r="GK10" s="31">
        <v>0</v>
      </c>
      <c r="GL10" s="31">
        <v>0</v>
      </c>
      <c r="GM10" s="31">
        <v>0</v>
      </c>
      <c r="GN10" s="31">
        <v>0</v>
      </c>
      <c r="GO10" s="31">
        <v>0</v>
      </c>
      <c r="GP10" s="31">
        <v>0</v>
      </c>
      <c r="GQ10" s="31">
        <v>0</v>
      </c>
      <c r="GR10" s="31">
        <v>0</v>
      </c>
      <c r="GS10" s="31">
        <v>0</v>
      </c>
      <c r="GT10" s="31">
        <v>0</v>
      </c>
      <c r="GU10" s="31">
        <v>0</v>
      </c>
      <c r="GV10" s="31">
        <v>0</v>
      </c>
      <c r="GW10" s="31">
        <v>0</v>
      </c>
      <c r="GX10" s="31">
        <v>0</v>
      </c>
      <c r="GY10" s="31">
        <v>0</v>
      </c>
      <c r="GZ10" s="31">
        <v>0</v>
      </c>
      <c r="HA10" s="31">
        <v>0</v>
      </c>
      <c r="HB10" s="31">
        <v>0</v>
      </c>
      <c r="HC10" s="31">
        <v>0</v>
      </c>
      <c r="HD10" s="31">
        <v>0</v>
      </c>
      <c r="HE10" s="31">
        <v>0</v>
      </c>
      <c r="HF10" s="31">
        <v>0</v>
      </c>
      <c r="HG10" s="31">
        <v>0</v>
      </c>
      <c r="HH10" s="31">
        <v>0</v>
      </c>
      <c r="HI10" s="31">
        <v>0</v>
      </c>
      <c r="HJ10" s="31">
        <v>0</v>
      </c>
      <c r="HK10" s="31">
        <v>0</v>
      </c>
      <c r="HL10" s="31">
        <v>0</v>
      </c>
      <c r="HM10" s="31">
        <v>0</v>
      </c>
      <c r="HN10" s="31">
        <v>0</v>
      </c>
      <c r="HO10" s="31">
        <v>0</v>
      </c>
      <c r="HP10" s="31">
        <v>0</v>
      </c>
      <c r="HQ10" s="31">
        <v>0</v>
      </c>
      <c r="HR10" s="31">
        <v>0</v>
      </c>
      <c r="HS10" s="31">
        <v>0</v>
      </c>
      <c r="HT10" s="31">
        <v>0</v>
      </c>
      <c r="HU10" s="31">
        <v>0</v>
      </c>
      <c r="HV10" s="31">
        <v>0</v>
      </c>
      <c r="HW10" s="31">
        <v>0</v>
      </c>
      <c r="HX10" s="31">
        <v>0</v>
      </c>
      <c r="HY10" s="31">
        <v>0</v>
      </c>
      <c r="HZ10" s="31">
        <v>0</v>
      </c>
      <c r="IA10" s="31">
        <v>1.3953836227200016</v>
      </c>
      <c r="IB10" s="31">
        <v>0</v>
      </c>
      <c r="IC10" s="31">
        <v>6.1465534129999957E-2</v>
      </c>
      <c r="ID10" s="31">
        <v>0</v>
      </c>
      <c r="IE10" s="31">
        <v>1.5468686828500022</v>
      </c>
      <c r="IF10" s="31">
        <v>0</v>
      </c>
      <c r="IG10" s="31">
        <v>0</v>
      </c>
      <c r="IH10" s="31">
        <v>0</v>
      </c>
      <c r="II10" s="31">
        <v>0</v>
      </c>
      <c r="IJ10" s="31">
        <v>0</v>
      </c>
      <c r="IK10" s="31">
        <v>0</v>
      </c>
      <c r="IL10" s="31">
        <v>0.52462424241000094</v>
      </c>
      <c r="IM10" s="31">
        <v>0.31785784522999977</v>
      </c>
      <c r="IN10" s="31">
        <v>0.33596546518999953</v>
      </c>
      <c r="IO10" s="31">
        <v>0</v>
      </c>
      <c r="IP10" s="31">
        <v>9.5770416929099937</v>
      </c>
      <c r="IQ10" s="31">
        <v>2.1611329337799958</v>
      </c>
      <c r="IR10" s="31">
        <v>2.8090401772800018</v>
      </c>
      <c r="IS10" s="31">
        <v>0.33921131801999926</v>
      </c>
      <c r="IT10" s="31">
        <v>0.85199726449999924</v>
      </c>
      <c r="IU10" s="31">
        <v>0</v>
      </c>
      <c r="IV10" s="31">
        <v>0</v>
      </c>
      <c r="IW10" s="31">
        <v>0</v>
      </c>
      <c r="IX10" s="31">
        <v>0</v>
      </c>
      <c r="IY10" s="31">
        <v>0</v>
      </c>
      <c r="IZ10" s="31">
        <v>0</v>
      </c>
      <c r="JA10" s="31">
        <v>0</v>
      </c>
      <c r="JB10" s="31">
        <v>8.5232466620000044E-2</v>
      </c>
      <c r="JC10" s="31">
        <v>1.6412660890799973</v>
      </c>
      <c r="JD10" s="31">
        <v>2.8586302806999959</v>
      </c>
      <c r="JE10" s="31">
        <v>0.50415341706999983</v>
      </c>
      <c r="JF10" s="31">
        <v>0.15342830728000004</v>
      </c>
      <c r="JG10" s="31">
        <v>0.15630332163999983</v>
      </c>
      <c r="JH10" s="31">
        <v>0.40443345661999891</v>
      </c>
      <c r="JI10" s="31">
        <v>0.67201210990999938</v>
      </c>
      <c r="JJ10" s="31">
        <v>0.18451324652999995</v>
      </c>
      <c r="JK10" s="31">
        <v>4.0432183450000062E-2</v>
      </c>
      <c r="JL10" s="31">
        <v>7.6268471788700074</v>
      </c>
      <c r="JM10" s="31">
        <v>0.35583838932000017</v>
      </c>
      <c r="JN10" s="31">
        <v>18.160576993520007</v>
      </c>
      <c r="JO10" s="31">
        <v>0.52473697758000015</v>
      </c>
      <c r="JP10" s="31">
        <v>0.39741645307999957</v>
      </c>
      <c r="JQ10" s="31">
        <v>0.66835233127000093</v>
      </c>
      <c r="JR10" s="31">
        <v>0.94304705437000136</v>
      </c>
      <c r="JS10" s="31">
        <v>0</v>
      </c>
      <c r="JT10" s="31">
        <v>0</v>
      </c>
      <c r="JU10" s="31">
        <v>0</v>
      </c>
      <c r="JV10" s="31">
        <v>0</v>
      </c>
      <c r="JW10" s="31">
        <v>2.9233238911500026</v>
      </c>
      <c r="JX10" s="31">
        <v>0</v>
      </c>
      <c r="JY10" s="31">
        <v>0</v>
      </c>
      <c r="JZ10" s="31">
        <v>1.7461459636999999</v>
      </c>
      <c r="KA10" s="31">
        <v>0.14604668640000001</v>
      </c>
      <c r="KB10" s="31">
        <v>0.42233068323999973</v>
      </c>
      <c r="KC10" s="31">
        <v>2.8427752450999937</v>
      </c>
      <c r="KD10" s="31">
        <v>0.31193444834000006</v>
      </c>
      <c r="KE10" s="31">
        <v>4.1382762150000009E-2</v>
      </c>
      <c r="KF10" s="31">
        <v>0.54234801887999873</v>
      </c>
      <c r="KG10" s="31">
        <v>0.15258955219000009</v>
      </c>
      <c r="KH10" s="31">
        <v>0.30232748664999975</v>
      </c>
      <c r="KI10" s="31">
        <v>0</v>
      </c>
      <c r="KJ10" s="31">
        <v>0</v>
      </c>
      <c r="KK10" s="31">
        <v>0</v>
      </c>
      <c r="KL10" s="31">
        <v>0</v>
      </c>
      <c r="KM10" s="31">
        <v>0.32398644123000003</v>
      </c>
      <c r="KN10" s="31">
        <v>0.29746687543999989</v>
      </c>
      <c r="KO10" s="31">
        <v>6.793225636999993E-2</v>
      </c>
      <c r="KP10" s="31">
        <v>0</v>
      </c>
      <c r="KQ10" s="31">
        <v>0</v>
      </c>
      <c r="KR10" s="31">
        <v>0</v>
      </c>
      <c r="KS10" s="31">
        <v>1.1942064970000006E-2</v>
      </c>
      <c r="KT10" s="31">
        <v>0</v>
      </c>
      <c r="KU10" s="31">
        <v>0</v>
      </c>
      <c r="KV10" s="31">
        <v>0</v>
      </c>
      <c r="KW10" s="31">
        <v>0</v>
      </c>
      <c r="KX10" s="31">
        <v>0</v>
      </c>
      <c r="KY10" s="31">
        <v>0</v>
      </c>
      <c r="KZ10" s="31">
        <v>1.3634604280000031</v>
      </c>
      <c r="LA10" s="31">
        <v>0.34351793426000032</v>
      </c>
      <c r="LB10" s="31">
        <v>1.1989635127699987</v>
      </c>
      <c r="LC10" s="31">
        <v>2.1311701550200057</v>
      </c>
      <c r="LD10" s="31">
        <v>0.78958286817999901</v>
      </c>
      <c r="LE10" s="31">
        <v>0</v>
      </c>
      <c r="LF10" s="31">
        <v>0</v>
      </c>
      <c r="LG10" s="31">
        <v>0.32488512768999978</v>
      </c>
      <c r="LH10" s="31">
        <v>3.7667487674600002</v>
      </c>
      <c r="LI10" s="31">
        <v>4.0818679891100018</v>
      </c>
      <c r="LJ10" s="31">
        <v>0.20285454660000007</v>
      </c>
      <c r="LK10" s="31">
        <v>0.26842465663000004</v>
      </c>
      <c r="LL10" s="31">
        <v>1.1009956999999999E-4</v>
      </c>
      <c r="LM10" s="31">
        <v>1.0286947011400003</v>
      </c>
      <c r="LN10" s="31">
        <v>6.1781708259599952</v>
      </c>
      <c r="LO10" s="31">
        <v>2.4498531427800065</v>
      </c>
      <c r="LP10" s="31">
        <v>3.7033381962400092</v>
      </c>
      <c r="LQ10" s="31">
        <v>0</v>
      </c>
      <c r="LR10" s="31">
        <v>0</v>
      </c>
      <c r="LS10" s="31">
        <v>0.7207160687899995</v>
      </c>
      <c r="LT10" s="31">
        <v>0</v>
      </c>
      <c r="LU10" s="31">
        <v>0</v>
      </c>
      <c r="LV10" s="31">
        <v>0</v>
      </c>
      <c r="LW10" s="31">
        <v>0</v>
      </c>
      <c r="LX10" s="31">
        <v>0.20928063415000001</v>
      </c>
      <c r="LY10" s="31">
        <v>2.8829437390000092</v>
      </c>
      <c r="LZ10" s="31">
        <v>0.18787879923000023</v>
      </c>
      <c r="MA10" s="31">
        <v>0.61085953225000034</v>
      </c>
      <c r="MB10" s="31">
        <v>0.27306254940000041</v>
      </c>
      <c r="MC10" s="31">
        <v>0</v>
      </c>
      <c r="MD10" s="31">
        <v>0.91219350412999889</v>
      </c>
      <c r="ME10" s="31">
        <v>0.49987153459000017</v>
      </c>
      <c r="MF10" s="31">
        <v>5.0739588390000021E-2</v>
      </c>
      <c r="MG10" s="31">
        <v>0.45803680692000043</v>
      </c>
      <c r="MH10" s="31">
        <v>0</v>
      </c>
      <c r="MI10" s="31">
        <v>0</v>
      </c>
      <c r="MJ10" s="31">
        <v>4.1235171739999993E-2</v>
      </c>
      <c r="MK10" s="31">
        <v>0.54448928399999974</v>
      </c>
      <c r="ML10" s="31">
        <v>0.38997720148999959</v>
      </c>
      <c r="MM10" s="31">
        <v>1.0468174175400005</v>
      </c>
      <c r="MN10" s="31">
        <v>0.79323942399000025</v>
      </c>
      <c r="MO10" s="31">
        <v>0</v>
      </c>
      <c r="MP10" s="31">
        <v>1.3807664525600047</v>
      </c>
      <c r="MQ10" s="31">
        <v>0</v>
      </c>
      <c r="MR10" s="31">
        <v>0</v>
      </c>
      <c r="MS10" s="31">
        <v>0.85970164814000138</v>
      </c>
      <c r="MT10" s="31">
        <v>0.41002556624000025</v>
      </c>
      <c r="MU10" s="31">
        <v>0</v>
      </c>
      <c r="MV10" s="31">
        <v>0.82586583019000048</v>
      </c>
      <c r="MW10" s="31">
        <v>0.96797630102999865</v>
      </c>
      <c r="MX10" s="31">
        <v>0.8571315497100005</v>
      </c>
      <c r="MY10" s="31">
        <v>0</v>
      </c>
      <c r="MZ10" s="31">
        <v>0</v>
      </c>
      <c r="NA10" s="31">
        <v>0</v>
      </c>
      <c r="NB10" s="31">
        <v>0</v>
      </c>
      <c r="NC10" s="31">
        <v>0</v>
      </c>
      <c r="ND10" s="31">
        <v>0.32070527381000002</v>
      </c>
      <c r="NE10" s="31">
        <v>0</v>
      </c>
      <c r="NF10" s="31">
        <v>0</v>
      </c>
      <c r="NG10" s="31">
        <v>0.72222256915000071</v>
      </c>
      <c r="NH10" s="31">
        <v>1.9196934822700007</v>
      </c>
      <c r="NI10" s="31">
        <v>1.3953836227200016</v>
      </c>
      <c r="NJ10" s="31">
        <v>6.1465534129999957E-2</v>
      </c>
      <c r="NK10" s="31">
        <v>1.5468686828500022</v>
      </c>
      <c r="NL10" s="31">
        <v>0</v>
      </c>
      <c r="NM10" s="31">
        <v>0.52462424241000094</v>
      </c>
      <c r="NN10" s="31">
        <v>0</v>
      </c>
      <c r="NO10" s="31">
        <v>0</v>
      </c>
      <c r="NP10" s="31">
        <v>0.14783281855000005</v>
      </c>
      <c r="NQ10" s="31">
        <v>0.18813264663999998</v>
      </c>
      <c r="NR10" s="31">
        <v>0</v>
      </c>
      <c r="NS10" s="31">
        <v>9.5770416929099937</v>
      </c>
      <c r="NT10" s="31">
        <v>2.1611329337799958</v>
      </c>
      <c r="NU10" s="31">
        <v>2.8090401772800018</v>
      </c>
      <c r="NV10" s="31">
        <v>0.33921131801999926</v>
      </c>
      <c r="NW10" s="31">
        <v>0.13965882226000001</v>
      </c>
    </row>
    <row r="11" spans="1:387">
      <c r="A11" s="31" t="s">
        <v>396</v>
      </c>
      <c r="B11" s="31"/>
      <c r="C11" s="31"/>
      <c r="D11" s="31"/>
      <c r="E11" s="31"/>
      <c r="F11" s="31"/>
      <c r="G11" s="31"/>
      <c r="H11" s="31"/>
      <c r="I11" s="31"/>
      <c r="J11" s="31"/>
      <c r="K11" s="31"/>
      <c r="L11" s="31"/>
      <c r="M11" s="31"/>
      <c r="N11" s="31"/>
      <c r="O11" s="31"/>
      <c r="P11" s="31"/>
      <c r="Q11" s="31"/>
      <c r="R11" s="31"/>
      <c r="S11" s="31">
        <v>210.78654705591018</v>
      </c>
      <c r="T11" s="31">
        <v>15.887928976220028</v>
      </c>
      <c r="U11" s="31">
        <v>2.5624087601299936</v>
      </c>
      <c r="V11" s="31">
        <v>9.4465229551600078</v>
      </c>
      <c r="W11" s="31">
        <v>47.338086877269923</v>
      </c>
      <c r="X11" s="31">
        <v>11.836872633729994</v>
      </c>
      <c r="Y11" s="31">
        <v>13.360565798679991</v>
      </c>
      <c r="Z11" s="31">
        <v>37.355128928359917</v>
      </c>
      <c r="AA11" s="31">
        <v>3.8368305590100138</v>
      </c>
      <c r="AB11" s="31">
        <v>22.596498292960003</v>
      </c>
      <c r="AC11" s="31">
        <v>1.6324413138100009</v>
      </c>
      <c r="AD11" s="31">
        <v>12.354841910060017</v>
      </c>
      <c r="AE11" s="31">
        <v>14.279801011580012</v>
      </c>
      <c r="AF11" s="31">
        <v>32.578420203269992</v>
      </c>
      <c r="AG11" s="31">
        <v>1.6081273103900029</v>
      </c>
      <c r="AH11" s="31">
        <v>1.8771035577199997</v>
      </c>
      <c r="AI11" s="31">
        <v>0.68530528672999902</v>
      </c>
      <c r="AJ11" s="31">
        <v>0</v>
      </c>
      <c r="AK11" s="31">
        <v>7.8442483338200173</v>
      </c>
      <c r="AL11" s="31">
        <v>1.6022751462300067</v>
      </c>
      <c r="AM11" s="31">
        <v>9.0858145128699892</v>
      </c>
      <c r="AN11" s="31">
        <v>23.102718686120021</v>
      </c>
      <c r="AO11" s="31">
        <v>1.9050713478700001</v>
      </c>
      <c r="AP11" s="31">
        <v>0</v>
      </c>
      <c r="AQ11" s="31">
        <v>8.3802892558099984</v>
      </c>
      <c r="AR11" s="31">
        <v>5.6084969119899943</v>
      </c>
      <c r="AS11" s="31">
        <v>0.8024493928099965</v>
      </c>
      <c r="AT11" s="31">
        <v>1.3320812127900012</v>
      </c>
      <c r="AU11" s="31">
        <v>0.7469890783299995</v>
      </c>
      <c r="AV11" s="31">
        <v>1.0464284562299988</v>
      </c>
      <c r="AW11" s="31">
        <v>1.8172736930099991</v>
      </c>
      <c r="AX11" s="31">
        <v>4.5599796995100137</v>
      </c>
      <c r="AY11" s="31">
        <v>7.1770620804100096</v>
      </c>
      <c r="AZ11" s="31">
        <v>1.5848298680799995</v>
      </c>
      <c r="BA11" s="31">
        <v>18.378364014829959</v>
      </c>
      <c r="BB11" s="31">
        <v>16.192457338350003</v>
      </c>
      <c r="BC11" s="31">
        <v>3.6939779325200033</v>
      </c>
      <c r="BD11" s="31">
        <v>0.38186858306999993</v>
      </c>
      <c r="BE11" s="31">
        <v>0.22470725725999999</v>
      </c>
      <c r="BF11" s="31">
        <v>3.2302616872400089</v>
      </c>
      <c r="BG11" s="31">
        <v>3.2825978999200061</v>
      </c>
      <c r="BH11" s="31">
        <v>0.91142986387999969</v>
      </c>
      <c r="BI11" s="31">
        <v>3.5023452301400151</v>
      </c>
      <c r="BJ11" s="31">
        <v>4.7556273292100153</v>
      </c>
      <c r="BK11" s="31">
        <v>3.6005469566900099</v>
      </c>
      <c r="BL11" s="31">
        <v>6.5439503438999802</v>
      </c>
      <c r="BM11" s="31">
        <v>0</v>
      </c>
      <c r="BN11" s="31">
        <v>0</v>
      </c>
      <c r="BO11" s="31">
        <v>0</v>
      </c>
      <c r="BP11" s="31">
        <v>0</v>
      </c>
      <c r="BQ11" s="31">
        <v>0.4436605397199998</v>
      </c>
      <c r="BR11" s="31">
        <v>8.8932898752100176</v>
      </c>
      <c r="BS11" s="31">
        <v>0</v>
      </c>
      <c r="BT11" s="31">
        <v>3.4615534756999944</v>
      </c>
      <c r="BU11" s="31">
        <v>0</v>
      </c>
      <c r="BV11" s="31">
        <v>0</v>
      </c>
      <c r="BW11" s="31">
        <v>0</v>
      </c>
      <c r="BX11" s="31">
        <v>0</v>
      </c>
      <c r="BY11" s="31">
        <v>0</v>
      </c>
      <c r="BZ11" s="31">
        <v>0</v>
      </c>
      <c r="CA11" s="31">
        <v>0</v>
      </c>
      <c r="CB11" s="31">
        <v>0</v>
      </c>
      <c r="CC11" s="31">
        <v>3.622358502200004</v>
      </c>
      <c r="CD11" s="31">
        <v>0</v>
      </c>
      <c r="CE11" s="31">
        <v>0</v>
      </c>
      <c r="CF11" s="31">
        <v>0</v>
      </c>
      <c r="CG11" s="31">
        <v>1.6250770623699999</v>
      </c>
      <c r="CH11" s="31">
        <v>0.55137966540999994</v>
      </c>
      <c r="CI11" s="31">
        <v>24.826474356719991</v>
      </c>
      <c r="CJ11" s="31">
        <v>0.56568643394999885</v>
      </c>
      <c r="CK11" s="31">
        <v>1.2737290564699972</v>
      </c>
      <c r="CL11" s="31">
        <v>0</v>
      </c>
      <c r="CM11" s="31">
        <v>0</v>
      </c>
      <c r="CN11" s="31">
        <v>0</v>
      </c>
      <c r="CO11" s="31">
        <v>0</v>
      </c>
      <c r="CP11" s="31">
        <v>0</v>
      </c>
      <c r="CQ11" s="31">
        <v>0.11169733557999992</v>
      </c>
      <c r="CR11" s="31">
        <v>7.2382091837300129</v>
      </c>
      <c r="CS11" s="31">
        <v>0.20509938096000002</v>
      </c>
      <c r="CT11" s="31">
        <v>0.28924188784000004</v>
      </c>
      <c r="CU11" s="31">
        <v>1.5213155382000016</v>
      </c>
      <c r="CV11" s="31">
        <v>5.2738380239999973E-2</v>
      </c>
      <c r="CW11" s="31">
        <v>8.4293869909599906</v>
      </c>
      <c r="CX11" s="31">
        <v>0.65642656812999989</v>
      </c>
      <c r="CY11" s="31">
        <v>21.843247889440004</v>
      </c>
      <c r="CZ11" s="31">
        <v>1.2594703114400008</v>
      </c>
      <c r="DA11" s="31">
        <v>0.77464532396000185</v>
      </c>
      <c r="DB11" s="31">
        <v>1.1304270075199996</v>
      </c>
      <c r="DC11" s="31">
        <v>0</v>
      </c>
      <c r="DD11" s="31">
        <v>0</v>
      </c>
      <c r="DE11" s="31">
        <v>0</v>
      </c>
      <c r="DF11" s="31">
        <v>0</v>
      </c>
      <c r="DG11" s="31">
        <v>3.2462969519699962</v>
      </c>
      <c r="DH11" s="31">
        <v>2.4737656601600042</v>
      </c>
      <c r="DI11" s="31">
        <v>2.0409069980000005</v>
      </c>
      <c r="DJ11" s="31">
        <v>0.15134154792999999</v>
      </c>
      <c r="DK11" s="31">
        <v>0.46796838133000029</v>
      </c>
      <c r="DL11" s="31">
        <v>5.0169873765000048</v>
      </c>
      <c r="DM11" s="31">
        <v>0.46997696967999963</v>
      </c>
      <c r="DN11" s="31">
        <v>0.12153295164999996</v>
      </c>
      <c r="DO11" s="31">
        <v>0.8024493928099965</v>
      </c>
      <c r="DP11" s="31">
        <v>0.89272779039999961</v>
      </c>
      <c r="DQ11" s="31">
        <v>0.35896079109999995</v>
      </c>
      <c r="DR11" s="31">
        <v>8.0392569509999984E-2</v>
      </c>
      <c r="DS11" s="31">
        <v>1.9033472250000009E-2</v>
      </c>
      <c r="DT11" s="31">
        <v>0</v>
      </c>
      <c r="DU11" s="31">
        <v>0</v>
      </c>
      <c r="DV11" s="31">
        <v>0.6172313792900016</v>
      </c>
      <c r="DW11" s="31">
        <v>1.2000419336100026</v>
      </c>
      <c r="DX11" s="31">
        <v>2.3071161814200027</v>
      </c>
      <c r="DY11" s="31">
        <v>0.42469161128999944</v>
      </c>
      <c r="DZ11" s="31">
        <v>1.8281724672700004</v>
      </c>
      <c r="EA11" s="31">
        <v>4.7912906001099982</v>
      </c>
      <c r="EB11" s="31">
        <v>1.6452559138300002</v>
      </c>
      <c r="EC11" s="31">
        <v>0.74050276029999929</v>
      </c>
      <c r="ED11" s="31">
        <v>15.987419450309993</v>
      </c>
      <c r="EE11" s="31">
        <v>0.34611371589000006</v>
      </c>
      <c r="EF11" s="31">
        <v>0.49315760920999974</v>
      </c>
      <c r="EG11" s="31">
        <v>1.0997150400000001E-3</v>
      </c>
      <c r="EH11" s="31">
        <v>1.2173286989499996</v>
      </c>
      <c r="EI11" s="31">
        <v>6.9165191304499798</v>
      </c>
      <c r="EJ11" s="31">
        <v>2.8327949441699976</v>
      </c>
      <c r="EK11" s="31">
        <v>5.2258192590599988</v>
      </c>
      <c r="EL11" s="31">
        <v>0</v>
      </c>
      <c r="EM11" s="31">
        <v>0</v>
      </c>
      <c r="EN11" s="31">
        <v>1.5103342181899999</v>
      </c>
      <c r="EO11" s="31">
        <v>0</v>
      </c>
      <c r="EP11" s="31">
        <v>0</v>
      </c>
      <c r="EQ11" s="31">
        <v>0</v>
      </c>
      <c r="ER11" s="31">
        <v>0.38186858306999993</v>
      </c>
      <c r="ES11" s="31">
        <v>0.22470725725999999</v>
      </c>
      <c r="ET11" s="31">
        <v>3.2302616872400089</v>
      </c>
      <c r="EU11" s="31">
        <v>1.1332725821399989</v>
      </c>
      <c r="EV11" s="31">
        <v>0.42111795464999952</v>
      </c>
      <c r="EW11" s="31">
        <v>1.0288528902399985</v>
      </c>
      <c r="EX11" s="31">
        <v>0.62144774607999897</v>
      </c>
      <c r="EY11" s="31">
        <v>7.7905689879999948E-2</v>
      </c>
      <c r="EZ11" s="31">
        <v>0.77686244851999986</v>
      </c>
      <c r="FA11" s="31">
        <v>0</v>
      </c>
      <c r="FB11" s="31">
        <v>0.13456732368999993</v>
      </c>
      <c r="FC11" s="31">
        <v>0.65288398378999801</v>
      </c>
      <c r="FD11" s="31">
        <v>0.61025210720000012</v>
      </c>
      <c r="FE11" s="31">
        <v>1.3121373952700026</v>
      </c>
      <c r="FF11" s="31">
        <v>0.9270697613800023</v>
      </c>
      <c r="FG11" s="31">
        <v>0</v>
      </c>
      <c r="FH11" s="31">
        <v>1.7775065205000014</v>
      </c>
      <c r="FI11" s="31">
        <v>1.550612244039991</v>
      </c>
      <c r="FJ11" s="31">
        <v>0</v>
      </c>
      <c r="FK11" s="31">
        <v>1.2027895138500004</v>
      </c>
      <c r="FL11" s="31">
        <v>1.2379928293100004</v>
      </c>
      <c r="FM11" s="31">
        <v>1.1597670929800035</v>
      </c>
      <c r="FN11" s="31">
        <v>0</v>
      </c>
      <c r="FO11" s="31">
        <v>0</v>
      </c>
      <c r="FP11" s="31">
        <v>0</v>
      </c>
      <c r="FQ11" s="31">
        <v>0</v>
      </c>
      <c r="FR11" s="31">
        <v>0</v>
      </c>
      <c r="FS11" s="31">
        <v>0.4436605397199998</v>
      </c>
      <c r="FT11" s="31">
        <v>7.9066415058299819</v>
      </c>
      <c r="FU11" s="31">
        <v>0</v>
      </c>
      <c r="FV11" s="31">
        <v>0.98664916251000045</v>
      </c>
      <c r="FW11" s="31">
        <v>0</v>
      </c>
      <c r="FX11" s="31">
        <v>0</v>
      </c>
      <c r="FY11" s="31">
        <v>0</v>
      </c>
      <c r="FZ11" s="31">
        <v>0</v>
      </c>
      <c r="GA11" s="31">
        <v>0</v>
      </c>
      <c r="GB11" s="31">
        <v>3.4615534756999944</v>
      </c>
      <c r="GC11" s="31">
        <v>0</v>
      </c>
      <c r="GD11" s="31">
        <v>0</v>
      </c>
      <c r="GE11" s="31">
        <v>0</v>
      </c>
      <c r="GF11" s="31">
        <v>0</v>
      </c>
      <c r="GG11" s="31">
        <v>0</v>
      </c>
      <c r="GH11" s="31">
        <v>0</v>
      </c>
      <c r="GI11" s="31">
        <v>0</v>
      </c>
      <c r="GJ11" s="31">
        <v>0</v>
      </c>
      <c r="GK11" s="31">
        <v>0</v>
      </c>
      <c r="GL11" s="31">
        <v>0</v>
      </c>
      <c r="GM11" s="31">
        <v>0</v>
      </c>
      <c r="GN11" s="31">
        <v>0</v>
      </c>
      <c r="GO11" s="31">
        <v>0</v>
      </c>
      <c r="GP11" s="31">
        <v>0</v>
      </c>
      <c r="GQ11" s="31">
        <v>0</v>
      </c>
      <c r="GR11" s="31">
        <v>0</v>
      </c>
      <c r="GS11" s="31">
        <v>0</v>
      </c>
      <c r="GT11" s="31">
        <v>0</v>
      </c>
      <c r="GU11" s="31">
        <v>0</v>
      </c>
      <c r="GV11" s="31">
        <v>0</v>
      </c>
      <c r="GW11" s="31">
        <v>0</v>
      </c>
      <c r="GX11" s="31">
        <v>0</v>
      </c>
      <c r="GY11" s="31">
        <v>0</v>
      </c>
      <c r="GZ11" s="31">
        <v>0</v>
      </c>
      <c r="HA11" s="31">
        <v>0</v>
      </c>
      <c r="HB11" s="31">
        <v>0</v>
      </c>
      <c r="HC11" s="31">
        <v>0</v>
      </c>
      <c r="HD11" s="31">
        <v>0</v>
      </c>
      <c r="HE11" s="31">
        <v>0</v>
      </c>
      <c r="HF11" s="31">
        <v>0</v>
      </c>
      <c r="HG11" s="31">
        <v>0</v>
      </c>
      <c r="HH11" s="31">
        <v>0</v>
      </c>
      <c r="HI11" s="31">
        <v>0</v>
      </c>
      <c r="HJ11" s="31">
        <v>0</v>
      </c>
      <c r="HK11" s="31">
        <v>0</v>
      </c>
      <c r="HL11" s="31">
        <v>0</v>
      </c>
      <c r="HM11" s="31">
        <v>0</v>
      </c>
      <c r="HN11" s="31">
        <v>0</v>
      </c>
      <c r="HO11" s="31">
        <v>0</v>
      </c>
      <c r="HP11" s="31">
        <v>0</v>
      </c>
      <c r="HQ11" s="31">
        <v>0</v>
      </c>
      <c r="HR11" s="31">
        <v>0</v>
      </c>
      <c r="HS11" s="31">
        <v>0</v>
      </c>
      <c r="HT11" s="31">
        <v>0</v>
      </c>
      <c r="HU11" s="31">
        <v>0</v>
      </c>
      <c r="HV11" s="31">
        <v>0</v>
      </c>
      <c r="HW11" s="31">
        <v>0</v>
      </c>
      <c r="HX11" s="31">
        <v>0</v>
      </c>
      <c r="HY11" s="31">
        <v>0</v>
      </c>
      <c r="HZ11" s="31">
        <v>0</v>
      </c>
      <c r="IA11" s="31">
        <v>1.7080670384300001</v>
      </c>
      <c r="IB11" s="31">
        <v>0</v>
      </c>
      <c r="IC11" s="31">
        <v>6.779133810999996E-2</v>
      </c>
      <c r="ID11" s="31">
        <v>0</v>
      </c>
      <c r="IE11" s="31">
        <v>1.8464962461699916</v>
      </c>
      <c r="IF11" s="31">
        <v>0</v>
      </c>
      <c r="IG11" s="31">
        <v>0</v>
      </c>
      <c r="IH11" s="31">
        <v>0</v>
      </c>
      <c r="II11" s="31">
        <v>0</v>
      </c>
      <c r="IJ11" s="31">
        <v>0</v>
      </c>
      <c r="IK11" s="31">
        <v>0</v>
      </c>
      <c r="IL11" s="31">
        <v>1.152846438230001</v>
      </c>
      <c r="IM11" s="31">
        <v>0.47223060867000027</v>
      </c>
      <c r="IN11" s="31">
        <v>0.55137966540999994</v>
      </c>
      <c r="IO11" s="31">
        <v>0</v>
      </c>
      <c r="IP11" s="31">
        <v>18.06165366731998</v>
      </c>
      <c r="IQ11" s="31">
        <v>2.2670370676000009</v>
      </c>
      <c r="IR11" s="31">
        <v>4.4977827153100183</v>
      </c>
      <c r="IS11" s="31">
        <v>0.56568643394999885</v>
      </c>
      <c r="IT11" s="31">
        <v>1.2737290564699972</v>
      </c>
      <c r="IU11" s="31">
        <v>0</v>
      </c>
      <c r="IV11" s="31">
        <v>0</v>
      </c>
      <c r="IW11" s="31">
        <v>0</v>
      </c>
      <c r="IX11" s="31">
        <v>0</v>
      </c>
      <c r="IY11" s="31">
        <v>0</v>
      </c>
      <c r="IZ11" s="31">
        <v>0</v>
      </c>
      <c r="JA11" s="31">
        <v>0</v>
      </c>
      <c r="JB11" s="31">
        <v>0.11169733557999992</v>
      </c>
      <c r="JC11" s="31">
        <v>2.5169038530500027</v>
      </c>
      <c r="JD11" s="31">
        <v>3.9476454621000041</v>
      </c>
      <c r="JE11" s="31">
        <v>0.55036872677999871</v>
      </c>
      <c r="JF11" s="31">
        <v>0.20509938096000002</v>
      </c>
      <c r="JG11" s="31">
        <v>0.28924188784000004</v>
      </c>
      <c r="JH11" s="31">
        <v>0.52675170571999996</v>
      </c>
      <c r="JI11" s="31">
        <v>0.80648969749999955</v>
      </c>
      <c r="JJ11" s="31">
        <v>0.18807065826999955</v>
      </c>
      <c r="JK11" s="31">
        <v>5.2738380239999973E-2</v>
      </c>
      <c r="JL11" s="31">
        <v>8.4293869909599906</v>
      </c>
      <c r="JM11" s="31">
        <v>0.65642656812999989</v>
      </c>
      <c r="JN11" s="31">
        <v>21.843247889440004</v>
      </c>
      <c r="JO11" s="31">
        <v>0.49025695484999993</v>
      </c>
      <c r="JP11" s="31">
        <v>0.76921360812000006</v>
      </c>
      <c r="JQ11" s="31">
        <v>0.77464532396000185</v>
      </c>
      <c r="JR11" s="31">
        <v>1.1304270075199996</v>
      </c>
      <c r="JS11" s="31">
        <v>0</v>
      </c>
      <c r="JT11" s="31">
        <v>0</v>
      </c>
      <c r="JU11" s="31">
        <v>0</v>
      </c>
      <c r="JV11" s="31">
        <v>0</v>
      </c>
      <c r="JW11" s="31">
        <v>3.2462969519699962</v>
      </c>
      <c r="JX11" s="31">
        <v>0</v>
      </c>
      <c r="JY11" s="31">
        <v>0</v>
      </c>
      <c r="JZ11" s="31">
        <v>2.0409069980000005</v>
      </c>
      <c r="KA11" s="31">
        <v>0.15134154792999999</v>
      </c>
      <c r="KB11" s="31">
        <v>0.46796838133000029</v>
      </c>
      <c r="KC11" s="31">
        <v>5.0169873765000048</v>
      </c>
      <c r="KD11" s="31">
        <v>0.46997696967999963</v>
      </c>
      <c r="KE11" s="31">
        <v>0.12153295164999996</v>
      </c>
      <c r="KF11" s="31">
        <v>0.8024493928099965</v>
      </c>
      <c r="KG11" s="31">
        <v>0.1905230670300001</v>
      </c>
      <c r="KH11" s="31">
        <v>0.31159651936999982</v>
      </c>
      <c r="KI11" s="31">
        <v>0</v>
      </c>
      <c r="KJ11" s="31">
        <v>0</v>
      </c>
      <c r="KK11" s="31">
        <v>0</v>
      </c>
      <c r="KL11" s="31">
        <v>0</v>
      </c>
      <c r="KM11" s="31">
        <v>0.36563279944999966</v>
      </c>
      <c r="KN11" s="31">
        <v>0.35896079109999995</v>
      </c>
      <c r="KO11" s="31">
        <v>8.0392569509999984E-2</v>
      </c>
      <c r="KP11" s="31">
        <v>0</v>
      </c>
      <c r="KQ11" s="31">
        <v>0</v>
      </c>
      <c r="KR11" s="31">
        <v>0</v>
      </c>
      <c r="KS11" s="31">
        <v>1.9033472250000009E-2</v>
      </c>
      <c r="KT11" s="31">
        <v>0</v>
      </c>
      <c r="KU11" s="31">
        <v>0</v>
      </c>
      <c r="KV11" s="31">
        <v>0</v>
      </c>
      <c r="KW11" s="31">
        <v>0</v>
      </c>
      <c r="KX11" s="31">
        <v>0</v>
      </c>
      <c r="KY11" s="31">
        <v>0</v>
      </c>
      <c r="KZ11" s="31">
        <v>2.3071161814200027</v>
      </c>
      <c r="LA11" s="31">
        <v>0.42469161128999944</v>
      </c>
      <c r="LB11" s="31">
        <v>1.8281724672700004</v>
      </c>
      <c r="LC11" s="31">
        <v>4.7912906001099982</v>
      </c>
      <c r="LD11" s="31">
        <v>1.6452559138300002</v>
      </c>
      <c r="LE11" s="31">
        <v>0</v>
      </c>
      <c r="LF11" s="31">
        <v>0</v>
      </c>
      <c r="LG11" s="31">
        <v>0.74050276029999929</v>
      </c>
      <c r="LH11" s="31">
        <v>9.0692897152899992</v>
      </c>
      <c r="LI11" s="31">
        <v>6.9181297092100031</v>
      </c>
      <c r="LJ11" s="31">
        <v>0.34611371589000006</v>
      </c>
      <c r="LK11" s="31">
        <v>0.49315760920999974</v>
      </c>
      <c r="LL11" s="31">
        <v>1.0997150400000001E-3</v>
      </c>
      <c r="LM11" s="31">
        <v>1.2173286989499996</v>
      </c>
      <c r="LN11" s="31">
        <v>6.9165191304499798</v>
      </c>
      <c r="LO11" s="31">
        <v>2.8327949441699976</v>
      </c>
      <c r="LP11" s="31">
        <v>5.2258192590599988</v>
      </c>
      <c r="LQ11" s="31">
        <v>0</v>
      </c>
      <c r="LR11" s="31">
        <v>0</v>
      </c>
      <c r="LS11" s="31">
        <v>1.5103342181899999</v>
      </c>
      <c r="LT11" s="31">
        <v>0</v>
      </c>
      <c r="LU11" s="31">
        <v>0</v>
      </c>
      <c r="LV11" s="31">
        <v>0</v>
      </c>
      <c r="LW11" s="31">
        <v>0</v>
      </c>
      <c r="LX11" s="31">
        <v>0.22470725725999999</v>
      </c>
      <c r="LY11" s="31">
        <v>3.2302616872400089</v>
      </c>
      <c r="LZ11" s="31">
        <v>0.32475055574999967</v>
      </c>
      <c r="MA11" s="31">
        <v>0.80852157919999956</v>
      </c>
      <c r="MB11" s="31">
        <v>0.42111795464999952</v>
      </c>
      <c r="MC11" s="31">
        <v>0</v>
      </c>
      <c r="MD11" s="31">
        <v>1.0288528902399985</v>
      </c>
      <c r="ME11" s="31">
        <v>0.62144774607999897</v>
      </c>
      <c r="MF11" s="31">
        <v>7.7905689879999948E-2</v>
      </c>
      <c r="MG11" s="31">
        <v>0.77686244851999986</v>
      </c>
      <c r="MH11" s="31">
        <v>0</v>
      </c>
      <c r="MI11" s="31">
        <v>0</v>
      </c>
      <c r="MJ11" s="31">
        <v>0.13456732368999993</v>
      </c>
      <c r="MK11" s="31">
        <v>0.65288398378999801</v>
      </c>
      <c r="ML11" s="31">
        <v>0.61025210720000012</v>
      </c>
      <c r="MM11" s="31">
        <v>1.3121373952700026</v>
      </c>
      <c r="MN11" s="31">
        <v>0.9270697613800023</v>
      </c>
      <c r="MO11" s="31">
        <v>0</v>
      </c>
      <c r="MP11" s="31">
        <v>1.7775065205000014</v>
      </c>
      <c r="MQ11" s="31">
        <v>0</v>
      </c>
      <c r="MR11" s="31">
        <v>0</v>
      </c>
      <c r="MS11" s="31">
        <v>0.92922025079999815</v>
      </c>
      <c r="MT11" s="31">
        <v>0.62141156150999988</v>
      </c>
      <c r="MU11" s="31">
        <v>0</v>
      </c>
      <c r="MV11" s="31">
        <v>1.2027895138500004</v>
      </c>
      <c r="MW11" s="31">
        <v>1.2379928293100004</v>
      </c>
      <c r="MX11" s="31">
        <v>1.1597670929800035</v>
      </c>
      <c r="MY11" s="31">
        <v>0</v>
      </c>
      <c r="MZ11" s="31">
        <v>0</v>
      </c>
      <c r="NA11" s="31">
        <v>0</v>
      </c>
      <c r="NB11" s="31">
        <v>0</v>
      </c>
      <c r="NC11" s="31">
        <v>0</v>
      </c>
      <c r="ND11" s="31">
        <v>0.4436605397199998</v>
      </c>
      <c r="NE11" s="31">
        <v>0</v>
      </c>
      <c r="NF11" s="31">
        <v>0</v>
      </c>
      <c r="NG11" s="31">
        <v>0.98664916251000045</v>
      </c>
      <c r="NH11" s="31">
        <v>3.4615534756999944</v>
      </c>
      <c r="NI11" s="31">
        <v>1.7080670384300001</v>
      </c>
      <c r="NJ11" s="31">
        <v>6.779133810999996E-2</v>
      </c>
      <c r="NK11" s="31">
        <v>1.8464962461699916</v>
      </c>
      <c r="NL11" s="31">
        <v>0</v>
      </c>
      <c r="NM11" s="31">
        <v>1.152846438230001</v>
      </c>
      <c r="NN11" s="31">
        <v>0</v>
      </c>
      <c r="NO11" s="31">
        <v>0</v>
      </c>
      <c r="NP11" s="31">
        <v>0.38722516289999992</v>
      </c>
      <c r="NQ11" s="31">
        <v>0.16415453851999992</v>
      </c>
      <c r="NR11" s="31">
        <v>0</v>
      </c>
      <c r="NS11" s="31">
        <v>18.06165366731998</v>
      </c>
      <c r="NT11" s="31">
        <v>2.2670370676000009</v>
      </c>
      <c r="NU11" s="31">
        <v>4.4977827153100183</v>
      </c>
      <c r="NV11" s="31">
        <v>0.56568643394999885</v>
      </c>
      <c r="NW11" s="31">
        <v>0.14131111358999993</v>
      </c>
    </row>
    <row r="12" spans="1:387">
      <c r="A12" s="31" t="s">
        <v>397</v>
      </c>
      <c r="B12" s="31"/>
      <c r="C12" s="31"/>
      <c r="D12" s="31"/>
      <c r="E12" s="31"/>
      <c r="F12" s="31"/>
      <c r="G12" s="31"/>
      <c r="H12" s="31"/>
      <c r="I12" s="31"/>
      <c r="J12" s="31"/>
      <c r="K12" s="31"/>
      <c r="L12" s="31"/>
      <c r="M12" s="31"/>
      <c r="N12" s="31"/>
      <c r="O12" s="31"/>
      <c r="P12" s="31"/>
      <c r="Q12" s="31"/>
      <c r="R12" s="31"/>
      <c r="S12" s="31">
        <v>1128.3120822736053</v>
      </c>
      <c r="T12" s="31">
        <v>131.77119643934</v>
      </c>
      <c r="U12" s="31">
        <v>18.629040205199981</v>
      </c>
      <c r="V12" s="31">
        <v>49.50851081003956</v>
      </c>
      <c r="W12" s="31">
        <v>343.12736724855893</v>
      </c>
      <c r="X12" s="31">
        <v>53.055759953120628</v>
      </c>
      <c r="Y12" s="31">
        <v>43.989726114620169</v>
      </c>
      <c r="Z12" s="31">
        <v>159.06818046564999</v>
      </c>
      <c r="AA12" s="31">
        <v>30.555683493469967</v>
      </c>
      <c r="AB12" s="31">
        <v>114.53256410664868</v>
      </c>
      <c r="AC12" s="31">
        <v>9.4221090076499792</v>
      </c>
      <c r="AD12" s="31">
        <v>52.727030702969365</v>
      </c>
      <c r="AE12" s="31">
        <v>118.26853464058021</v>
      </c>
      <c r="AF12" s="31">
        <v>121.92486337680936</v>
      </c>
      <c r="AG12" s="31">
        <v>13.502669958770062</v>
      </c>
      <c r="AH12" s="31">
        <v>10.58003716995003</v>
      </c>
      <c r="AI12" s="31">
        <v>8.0489950059700224</v>
      </c>
      <c r="AJ12" s="31">
        <v>0</v>
      </c>
      <c r="AK12" s="31">
        <v>39.602272323319724</v>
      </c>
      <c r="AL12" s="31">
        <v>9.9062132892599841</v>
      </c>
      <c r="AM12" s="31">
        <v>106.81869505566065</v>
      </c>
      <c r="AN12" s="31">
        <v>134.21282913922064</v>
      </c>
      <c r="AO12" s="31">
        <v>9.4411743856499939</v>
      </c>
      <c r="AP12" s="31">
        <v>0</v>
      </c>
      <c r="AQ12" s="31">
        <v>65.565219257560102</v>
      </c>
      <c r="AR12" s="31">
        <v>21.001618833590058</v>
      </c>
      <c r="AS12" s="31">
        <v>4.1245325716000281</v>
      </c>
      <c r="AT12" s="31">
        <v>8.8544014763499543</v>
      </c>
      <c r="AU12" s="31">
        <v>3.7286426725800195</v>
      </c>
      <c r="AV12" s="31">
        <v>6.0690586560100277</v>
      </c>
      <c r="AW12" s="31">
        <v>7.3543030187698823</v>
      </c>
      <c r="AX12" s="31">
        <v>21.766020869799821</v>
      </c>
      <c r="AY12" s="31">
        <v>19.067137305979919</v>
      </c>
      <c r="AZ12" s="31">
        <v>3.0543658570600041</v>
      </c>
      <c r="BA12" s="31">
        <v>52.889764723690028</v>
      </c>
      <c r="BB12" s="31">
        <v>96.086073435110251</v>
      </c>
      <c r="BC12" s="31">
        <v>16.316613619669901</v>
      </c>
      <c r="BD12" s="31">
        <v>2.5901709564600064</v>
      </c>
      <c r="BE12" s="31">
        <v>1.5125638692100021</v>
      </c>
      <c r="BF12" s="31">
        <v>26.452998547659991</v>
      </c>
      <c r="BG12" s="31">
        <v>16.619641088389805</v>
      </c>
      <c r="BH12" s="31">
        <v>2.580682500250004</v>
      </c>
      <c r="BI12" s="31">
        <v>20.638958665109705</v>
      </c>
      <c r="BJ12" s="31">
        <v>26.282078159140084</v>
      </c>
      <c r="BK12" s="31">
        <v>19.953022099960194</v>
      </c>
      <c r="BL12" s="31">
        <v>28.45825680537996</v>
      </c>
      <c r="BM12" s="31">
        <v>0</v>
      </c>
      <c r="BN12" s="31">
        <v>0</v>
      </c>
      <c r="BO12" s="31">
        <v>0</v>
      </c>
      <c r="BP12" s="31">
        <v>0</v>
      </c>
      <c r="BQ12" s="31">
        <v>2.2634887874300031</v>
      </c>
      <c r="BR12" s="31">
        <v>40.841982617159495</v>
      </c>
      <c r="BS12" s="31">
        <v>0</v>
      </c>
      <c r="BT12" s="31">
        <v>11.885035454899972</v>
      </c>
      <c r="BU12" s="31">
        <v>0</v>
      </c>
      <c r="BV12" s="31">
        <v>0</v>
      </c>
      <c r="BW12" s="31">
        <v>0</v>
      </c>
      <c r="BX12" s="31">
        <v>0</v>
      </c>
      <c r="BY12" s="31">
        <v>0</v>
      </c>
      <c r="BZ12" s="31">
        <v>0</v>
      </c>
      <c r="CA12" s="31">
        <v>0</v>
      </c>
      <c r="CB12" s="31">
        <v>0</v>
      </c>
      <c r="CC12" s="31">
        <v>24.742817169270115</v>
      </c>
      <c r="CD12" s="31">
        <v>0</v>
      </c>
      <c r="CE12" s="31">
        <v>0</v>
      </c>
      <c r="CF12" s="31">
        <v>0</v>
      </c>
      <c r="CG12" s="31">
        <v>6.0055924373599909</v>
      </c>
      <c r="CH12" s="31">
        <v>2.363762956050004</v>
      </c>
      <c r="CI12" s="31">
        <v>80.829629004279852</v>
      </c>
      <c r="CJ12" s="31">
        <v>2.4721100267200029</v>
      </c>
      <c r="CK12" s="31">
        <v>4.8974062534600202</v>
      </c>
      <c r="CL12" s="31">
        <v>0</v>
      </c>
      <c r="CM12" s="31">
        <v>0</v>
      </c>
      <c r="CN12" s="31">
        <v>0</v>
      </c>
      <c r="CO12" s="31">
        <v>0</v>
      </c>
      <c r="CP12" s="31">
        <v>0</v>
      </c>
      <c r="CQ12" s="31">
        <v>0.82721155277000236</v>
      </c>
      <c r="CR12" s="31">
        <v>36.397239720239774</v>
      </c>
      <c r="CS12" s="31">
        <v>1.2029588348900031</v>
      </c>
      <c r="CT12" s="31">
        <v>1.1748760097700004</v>
      </c>
      <c r="CU12" s="31">
        <v>9.4138265287399907</v>
      </c>
      <c r="CV12" s="31">
        <v>0.30229625539999866</v>
      </c>
      <c r="CW12" s="31">
        <v>104.70268506719061</v>
      </c>
      <c r="CX12" s="31">
        <v>2.1160087946099995</v>
      </c>
      <c r="CY12" s="31">
        <v>123.87180463836984</v>
      </c>
      <c r="CZ12" s="31">
        <v>10.341024101710024</v>
      </c>
      <c r="DA12" s="31">
        <v>4.6389409476299948</v>
      </c>
      <c r="DB12" s="31">
        <v>4.802234351240001</v>
      </c>
      <c r="DC12" s="31">
        <v>0</v>
      </c>
      <c r="DD12" s="31">
        <v>0</v>
      </c>
      <c r="DE12" s="31">
        <v>0</v>
      </c>
      <c r="DF12" s="31">
        <v>0</v>
      </c>
      <c r="DG12" s="31">
        <v>27.058967881520172</v>
      </c>
      <c r="DH12" s="31">
        <v>17.031947346430076</v>
      </c>
      <c r="DI12" s="31">
        <v>14.119725250939998</v>
      </c>
      <c r="DJ12" s="31">
        <v>1.3835059867099953</v>
      </c>
      <c r="DK12" s="31">
        <v>5.970983521620032</v>
      </c>
      <c r="DL12" s="31">
        <v>18.419798489530084</v>
      </c>
      <c r="DM12" s="31">
        <v>2.0984748432699942</v>
      </c>
      <c r="DN12" s="31">
        <v>0.48334586677000013</v>
      </c>
      <c r="DO12" s="31">
        <v>4.1245325716000281</v>
      </c>
      <c r="DP12" s="31">
        <v>6.0967625703099939</v>
      </c>
      <c r="DQ12" s="31">
        <v>2.2519675070299967</v>
      </c>
      <c r="DR12" s="31">
        <v>0.50566460988999984</v>
      </c>
      <c r="DS12" s="31">
        <v>0.11314711468999995</v>
      </c>
      <c r="DT12" s="31">
        <v>0</v>
      </c>
      <c r="DU12" s="31">
        <v>0</v>
      </c>
      <c r="DV12" s="31">
        <v>4.2499523947100366</v>
      </c>
      <c r="DW12" s="31">
        <v>3.1043515310100069</v>
      </c>
      <c r="DX12" s="31">
        <v>10.043583734159981</v>
      </c>
      <c r="DY12" s="31">
        <v>2.7404533375999875</v>
      </c>
      <c r="DZ12" s="31">
        <v>8.9820029384799582</v>
      </c>
      <c r="EA12" s="31">
        <v>11.138605326299707</v>
      </c>
      <c r="EB12" s="31">
        <v>5.74807543113997</v>
      </c>
      <c r="EC12" s="31">
        <v>2.1803157687399932</v>
      </c>
      <c r="ED12" s="31">
        <v>44.388360390169893</v>
      </c>
      <c r="EE12" s="31">
        <v>1.3373155780999997</v>
      </c>
      <c r="EF12" s="31">
        <v>2.0519230148299989</v>
      </c>
      <c r="EG12" s="31">
        <v>4.3562732700000006E-3</v>
      </c>
      <c r="EH12" s="31">
        <v>7.5677156382899415</v>
      </c>
      <c r="EI12" s="31">
        <v>45.717065293080388</v>
      </c>
      <c r="EJ12" s="31">
        <v>16.311695316090081</v>
      </c>
      <c r="EK12" s="31">
        <v>26.489654090129982</v>
      </c>
      <c r="EL12" s="31">
        <v>0</v>
      </c>
      <c r="EM12" s="31">
        <v>0</v>
      </c>
      <c r="EN12" s="31">
        <v>4.3210777682500057</v>
      </c>
      <c r="EO12" s="31">
        <v>0</v>
      </c>
      <c r="EP12" s="31">
        <v>0</v>
      </c>
      <c r="EQ12" s="31">
        <v>0</v>
      </c>
      <c r="ER12" s="31">
        <v>2.5901709564600064</v>
      </c>
      <c r="ES12" s="31">
        <v>1.5125638692100021</v>
      </c>
      <c r="ET12" s="31">
        <v>26.452998547659991</v>
      </c>
      <c r="EU12" s="31">
        <v>5.4901542276200122</v>
      </c>
      <c r="EV12" s="31">
        <v>1.7444610583400002</v>
      </c>
      <c r="EW12" s="31">
        <v>5.6748176742799874</v>
      </c>
      <c r="EX12" s="31">
        <v>3.2867765718200426</v>
      </c>
      <c r="EY12" s="31">
        <v>0.42340994203999949</v>
      </c>
      <c r="EZ12" s="31">
        <v>2.1945161421599995</v>
      </c>
      <c r="FA12" s="31">
        <v>0</v>
      </c>
      <c r="FB12" s="31">
        <v>0.38616591853999982</v>
      </c>
      <c r="FC12" s="31">
        <v>4.1137458326600491</v>
      </c>
      <c r="FD12" s="31">
        <v>2.6528411308199948</v>
      </c>
      <c r="FE12" s="31">
        <v>7.6608052265499573</v>
      </c>
      <c r="FF12" s="31">
        <v>6.2115895653799837</v>
      </c>
      <c r="FG12" s="31">
        <v>0</v>
      </c>
      <c r="FH12" s="31">
        <v>8.7512588514500038</v>
      </c>
      <c r="FI12" s="31">
        <v>10.761474701280104</v>
      </c>
      <c r="FJ12" s="31">
        <v>0</v>
      </c>
      <c r="FK12" s="31">
        <v>5.7827552969499845</v>
      </c>
      <c r="FL12" s="31">
        <v>7.7817376073500233</v>
      </c>
      <c r="FM12" s="31">
        <v>6.3885659227299776</v>
      </c>
      <c r="FN12" s="31">
        <v>0</v>
      </c>
      <c r="FO12" s="31">
        <v>0</v>
      </c>
      <c r="FP12" s="31">
        <v>0</v>
      </c>
      <c r="FQ12" s="31">
        <v>0</v>
      </c>
      <c r="FR12" s="31">
        <v>0</v>
      </c>
      <c r="FS12" s="31">
        <v>2.2634887874300031</v>
      </c>
      <c r="FT12" s="31">
        <v>36.315826742589827</v>
      </c>
      <c r="FU12" s="31">
        <v>0</v>
      </c>
      <c r="FV12" s="31">
        <v>4.5261617987599925</v>
      </c>
      <c r="FW12" s="31">
        <v>0</v>
      </c>
      <c r="FX12" s="31">
        <v>0</v>
      </c>
      <c r="FY12" s="31">
        <v>0</v>
      </c>
      <c r="FZ12" s="31">
        <v>0</v>
      </c>
      <c r="GA12" s="31">
        <v>0</v>
      </c>
      <c r="GB12" s="31">
        <v>11.885035454899972</v>
      </c>
      <c r="GC12" s="31">
        <v>0</v>
      </c>
      <c r="GD12" s="31">
        <v>0</v>
      </c>
      <c r="GE12" s="31">
        <v>0</v>
      </c>
      <c r="GF12" s="31">
        <v>0</v>
      </c>
      <c r="GG12" s="31">
        <v>0</v>
      </c>
      <c r="GH12" s="31">
        <v>0</v>
      </c>
      <c r="GI12" s="31">
        <v>0</v>
      </c>
      <c r="GJ12" s="31">
        <v>0</v>
      </c>
      <c r="GK12" s="31">
        <v>0</v>
      </c>
      <c r="GL12" s="31">
        <v>0</v>
      </c>
      <c r="GM12" s="31">
        <v>0</v>
      </c>
      <c r="GN12" s="31">
        <v>0</v>
      </c>
      <c r="GO12" s="31">
        <v>0</v>
      </c>
      <c r="GP12" s="31">
        <v>0</v>
      </c>
      <c r="GQ12" s="31">
        <v>0</v>
      </c>
      <c r="GR12" s="31">
        <v>0</v>
      </c>
      <c r="GS12" s="31">
        <v>0</v>
      </c>
      <c r="GT12" s="31">
        <v>0</v>
      </c>
      <c r="GU12" s="31">
        <v>0</v>
      </c>
      <c r="GV12" s="31">
        <v>0</v>
      </c>
      <c r="GW12" s="31">
        <v>0</v>
      </c>
      <c r="GX12" s="31">
        <v>0</v>
      </c>
      <c r="GY12" s="31">
        <v>0</v>
      </c>
      <c r="GZ12" s="31">
        <v>0</v>
      </c>
      <c r="HA12" s="31">
        <v>0</v>
      </c>
      <c r="HB12" s="31">
        <v>0</v>
      </c>
      <c r="HC12" s="31">
        <v>0</v>
      </c>
      <c r="HD12" s="31">
        <v>0</v>
      </c>
      <c r="HE12" s="31">
        <v>0</v>
      </c>
      <c r="HF12" s="31">
        <v>0</v>
      </c>
      <c r="HG12" s="31">
        <v>0</v>
      </c>
      <c r="HH12" s="31">
        <v>0</v>
      </c>
      <c r="HI12" s="31">
        <v>0</v>
      </c>
      <c r="HJ12" s="31">
        <v>0</v>
      </c>
      <c r="HK12" s="31">
        <v>0</v>
      </c>
      <c r="HL12" s="31">
        <v>0</v>
      </c>
      <c r="HM12" s="31">
        <v>0</v>
      </c>
      <c r="HN12" s="31">
        <v>0</v>
      </c>
      <c r="HO12" s="31">
        <v>0</v>
      </c>
      <c r="HP12" s="31">
        <v>0</v>
      </c>
      <c r="HQ12" s="31">
        <v>0</v>
      </c>
      <c r="HR12" s="31">
        <v>0</v>
      </c>
      <c r="HS12" s="31">
        <v>0</v>
      </c>
      <c r="HT12" s="31">
        <v>0</v>
      </c>
      <c r="HU12" s="31">
        <v>0</v>
      </c>
      <c r="HV12" s="31">
        <v>0</v>
      </c>
      <c r="HW12" s="31">
        <v>0</v>
      </c>
      <c r="HX12" s="31">
        <v>0</v>
      </c>
      <c r="HY12" s="31">
        <v>0</v>
      </c>
      <c r="HZ12" s="31">
        <v>0</v>
      </c>
      <c r="IA12" s="31">
        <v>10.977446050529943</v>
      </c>
      <c r="IB12" s="31">
        <v>0</v>
      </c>
      <c r="IC12" s="31">
        <v>0.45883606702999991</v>
      </c>
      <c r="ID12" s="31">
        <v>0</v>
      </c>
      <c r="IE12" s="31">
        <v>13.306486035949826</v>
      </c>
      <c r="IF12" s="31">
        <v>0</v>
      </c>
      <c r="IG12" s="31">
        <v>0</v>
      </c>
      <c r="IH12" s="31">
        <v>0</v>
      </c>
      <c r="II12" s="31">
        <v>0</v>
      </c>
      <c r="IJ12" s="31">
        <v>0</v>
      </c>
      <c r="IK12" s="31">
        <v>0</v>
      </c>
      <c r="IL12" s="31">
        <v>3.7512638986499858</v>
      </c>
      <c r="IM12" s="31">
        <v>2.2543255781699956</v>
      </c>
      <c r="IN12" s="31">
        <v>2.363762956050004</v>
      </c>
      <c r="IO12" s="31">
        <v>0</v>
      </c>
      <c r="IP12" s="31">
        <v>45.639693707300303</v>
      </c>
      <c r="IQ12" s="31">
        <v>16.163543841429856</v>
      </c>
      <c r="IR12" s="31">
        <v>19.026369779740115</v>
      </c>
      <c r="IS12" s="31">
        <v>2.4721100267200029</v>
      </c>
      <c r="IT12" s="31">
        <v>4.8974062534600202</v>
      </c>
      <c r="IU12" s="31">
        <v>0</v>
      </c>
      <c r="IV12" s="31">
        <v>0</v>
      </c>
      <c r="IW12" s="31">
        <v>0</v>
      </c>
      <c r="IX12" s="31">
        <v>0</v>
      </c>
      <c r="IY12" s="31">
        <v>0</v>
      </c>
      <c r="IZ12" s="31">
        <v>0</v>
      </c>
      <c r="JA12" s="31">
        <v>0</v>
      </c>
      <c r="JB12" s="31">
        <v>0.82721155277000236</v>
      </c>
      <c r="JC12" s="31">
        <v>10.864993602940084</v>
      </c>
      <c r="JD12" s="31">
        <v>20.331257651529953</v>
      </c>
      <c r="JE12" s="31">
        <v>3.7947095748999939</v>
      </c>
      <c r="JF12" s="31">
        <v>1.2029588348900031</v>
      </c>
      <c r="JG12" s="31">
        <v>1.1748760097700004</v>
      </c>
      <c r="JH12" s="31">
        <v>2.9203162989200302</v>
      </c>
      <c r="JI12" s="31">
        <v>5.0110832920899853</v>
      </c>
      <c r="JJ12" s="31">
        <v>1.4823727548200032</v>
      </c>
      <c r="JK12" s="31">
        <v>0.30229625539999866</v>
      </c>
      <c r="JL12" s="31">
        <v>104.70268506719061</v>
      </c>
      <c r="JM12" s="31">
        <v>2.1160087946099995</v>
      </c>
      <c r="JN12" s="31">
        <v>123.87180463836984</v>
      </c>
      <c r="JO12" s="31">
        <v>7.4343543769900169</v>
      </c>
      <c r="JP12" s="31">
        <v>2.9066699570700001</v>
      </c>
      <c r="JQ12" s="31">
        <v>4.6389409476299948</v>
      </c>
      <c r="JR12" s="31">
        <v>4.802234351240001</v>
      </c>
      <c r="JS12" s="31">
        <v>0</v>
      </c>
      <c r="JT12" s="31">
        <v>0</v>
      </c>
      <c r="JU12" s="31">
        <v>0</v>
      </c>
      <c r="JV12" s="31">
        <v>0</v>
      </c>
      <c r="JW12" s="31">
        <v>27.058967881520172</v>
      </c>
      <c r="JX12" s="31">
        <v>0</v>
      </c>
      <c r="JY12" s="31">
        <v>0</v>
      </c>
      <c r="JZ12" s="31">
        <v>14.119725250939998</v>
      </c>
      <c r="KA12" s="31">
        <v>1.3835059867099953</v>
      </c>
      <c r="KB12" s="31">
        <v>5.970983521620032</v>
      </c>
      <c r="KC12" s="31">
        <v>18.419798489530084</v>
      </c>
      <c r="KD12" s="31">
        <v>2.0984748432699942</v>
      </c>
      <c r="KE12" s="31">
        <v>0.48334586677000013</v>
      </c>
      <c r="KF12" s="31">
        <v>4.1245325716000281</v>
      </c>
      <c r="KG12" s="31">
        <v>1.4230025835299998</v>
      </c>
      <c r="KH12" s="31">
        <v>2.2670163000499981</v>
      </c>
      <c r="KI12" s="31">
        <v>0</v>
      </c>
      <c r="KJ12" s="31">
        <v>0</v>
      </c>
      <c r="KK12" s="31">
        <v>0</v>
      </c>
      <c r="KL12" s="31">
        <v>0</v>
      </c>
      <c r="KM12" s="31">
        <v>2.2308510773200037</v>
      </c>
      <c r="KN12" s="31">
        <v>2.2519675070299967</v>
      </c>
      <c r="KO12" s="31">
        <v>0.50566460988999984</v>
      </c>
      <c r="KP12" s="31">
        <v>0</v>
      </c>
      <c r="KQ12" s="31">
        <v>0</v>
      </c>
      <c r="KR12" s="31">
        <v>0</v>
      </c>
      <c r="KS12" s="31">
        <v>0.11314711468999995</v>
      </c>
      <c r="KT12" s="31">
        <v>0</v>
      </c>
      <c r="KU12" s="31">
        <v>0</v>
      </c>
      <c r="KV12" s="31">
        <v>0</v>
      </c>
      <c r="KW12" s="31">
        <v>0</v>
      </c>
      <c r="KX12" s="31">
        <v>0</v>
      </c>
      <c r="KY12" s="31">
        <v>0</v>
      </c>
      <c r="KZ12" s="31">
        <v>10.043583734159981</v>
      </c>
      <c r="LA12" s="31">
        <v>2.7404533375999875</v>
      </c>
      <c r="LB12" s="31">
        <v>8.9820029384799582</v>
      </c>
      <c r="LC12" s="31">
        <v>11.138605326299707</v>
      </c>
      <c r="LD12" s="31">
        <v>5.74807543113997</v>
      </c>
      <c r="LE12" s="31">
        <v>0</v>
      </c>
      <c r="LF12" s="31">
        <v>0</v>
      </c>
      <c r="LG12" s="31">
        <v>2.1803157687399932</v>
      </c>
      <c r="LH12" s="31">
        <v>21.800949002739998</v>
      </c>
      <c r="LI12" s="31">
        <v>22.587411361619964</v>
      </c>
      <c r="LJ12" s="31">
        <v>1.3373155780999997</v>
      </c>
      <c r="LK12" s="31">
        <v>2.0519230148299989</v>
      </c>
      <c r="LL12" s="31">
        <v>4.3562732700000006E-3</v>
      </c>
      <c r="LM12" s="31">
        <v>7.5677156382899415</v>
      </c>
      <c r="LN12" s="31">
        <v>45.717065293080388</v>
      </c>
      <c r="LO12" s="31">
        <v>16.311695316090081</v>
      </c>
      <c r="LP12" s="31">
        <v>26.489654090129982</v>
      </c>
      <c r="LQ12" s="31">
        <v>0</v>
      </c>
      <c r="LR12" s="31">
        <v>0</v>
      </c>
      <c r="LS12" s="31">
        <v>4.3210777682500057</v>
      </c>
      <c r="LT12" s="31">
        <v>0</v>
      </c>
      <c r="LU12" s="31">
        <v>0</v>
      </c>
      <c r="LV12" s="31">
        <v>0</v>
      </c>
      <c r="LW12" s="31">
        <v>0</v>
      </c>
      <c r="LX12" s="31">
        <v>1.5125638692100021</v>
      </c>
      <c r="LY12" s="31">
        <v>26.452998547659991</v>
      </c>
      <c r="LZ12" s="31">
        <v>1.3850439570499973</v>
      </c>
      <c r="MA12" s="31">
        <v>4.1051092250500094</v>
      </c>
      <c r="MB12" s="31">
        <v>1.7444610583400002</v>
      </c>
      <c r="MC12" s="31">
        <v>0</v>
      </c>
      <c r="MD12" s="31">
        <v>5.6748176742799874</v>
      </c>
      <c r="ME12" s="31">
        <v>3.2867765718200426</v>
      </c>
      <c r="MF12" s="31">
        <v>0.42340994203999949</v>
      </c>
      <c r="MG12" s="31">
        <v>2.1945161421599995</v>
      </c>
      <c r="MH12" s="31">
        <v>0</v>
      </c>
      <c r="MI12" s="31">
        <v>0</v>
      </c>
      <c r="MJ12" s="31">
        <v>0.38616591853999982</v>
      </c>
      <c r="MK12" s="31">
        <v>4.1137458326600491</v>
      </c>
      <c r="ML12" s="31">
        <v>2.6528411308199948</v>
      </c>
      <c r="MM12" s="31">
        <v>7.6608052265499573</v>
      </c>
      <c r="MN12" s="31">
        <v>6.2115895653799837</v>
      </c>
      <c r="MO12" s="31">
        <v>0</v>
      </c>
      <c r="MP12" s="31">
        <v>8.7512588514500038</v>
      </c>
      <c r="MQ12" s="31">
        <v>0</v>
      </c>
      <c r="MR12" s="31">
        <v>0</v>
      </c>
      <c r="MS12" s="31">
        <v>7.9323418414197979</v>
      </c>
      <c r="MT12" s="31">
        <v>2.829278557010015</v>
      </c>
      <c r="MU12" s="31">
        <v>0</v>
      </c>
      <c r="MV12" s="31">
        <v>5.7827552969499845</v>
      </c>
      <c r="MW12" s="31">
        <v>7.7817376073500233</v>
      </c>
      <c r="MX12" s="31">
        <v>6.3885659227299776</v>
      </c>
      <c r="MY12" s="31">
        <v>0</v>
      </c>
      <c r="MZ12" s="31">
        <v>0</v>
      </c>
      <c r="NA12" s="31">
        <v>0</v>
      </c>
      <c r="NB12" s="31">
        <v>0</v>
      </c>
      <c r="NC12" s="31">
        <v>0</v>
      </c>
      <c r="ND12" s="31">
        <v>2.2634887874300031</v>
      </c>
      <c r="NE12" s="31">
        <v>0</v>
      </c>
      <c r="NF12" s="31">
        <v>0</v>
      </c>
      <c r="NG12" s="31">
        <v>4.5261617987599925</v>
      </c>
      <c r="NH12" s="31">
        <v>11.885035454899972</v>
      </c>
      <c r="NI12" s="31">
        <v>10.977446050529943</v>
      </c>
      <c r="NJ12" s="31">
        <v>0.45883606702999991</v>
      </c>
      <c r="NK12" s="31">
        <v>13.306486035949826</v>
      </c>
      <c r="NL12" s="31">
        <v>0</v>
      </c>
      <c r="NM12" s="31">
        <v>3.7512638986499858</v>
      </c>
      <c r="NN12" s="31">
        <v>0</v>
      </c>
      <c r="NO12" s="31">
        <v>0</v>
      </c>
      <c r="NP12" s="31">
        <v>1.1591597635100004</v>
      </c>
      <c r="NQ12" s="31">
        <v>1.2046034147900011</v>
      </c>
      <c r="NR12" s="31">
        <v>0</v>
      </c>
      <c r="NS12" s="31">
        <v>45.639693707300303</v>
      </c>
      <c r="NT12" s="31">
        <v>16.163543841429856</v>
      </c>
      <c r="NU12" s="31">
        <v>19.026369779740115</v>
      </c>
      <c r="NV12" s="31">
        <v>2.4721100267200029</v>
      </c>
      <c r="NW12" s="31">
        <v>1.3261644408700046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4:OG110"/>
  <sheetViews>
    <sheetView topLeftCell="H4" zoomScale="70" zoomScaleNormal="70" workbookViewId="0">
      <pane xSplit="21" ySplit="3" topLeftCell="AC7" activePane="bottomRight" state="frozen"/>
      <selection activeCell="H4" sqref="H4"/>
      <selection pane="bottomLeft" activeCell="H7" sqref="H7"/>
      <selection pane="topRight" activeCell="AC4" sqref="AC4"/>
      <selection pane="bottomRight" activeCell="AC25" sqref="AC25"/>
    </sheetView>
  </sheetViews>
  <sheetFormatPr defaultRowHeight="14.45"/>
  <cols>
    <col min="5" max="5" width="40" customWidth="1"/>
    <col min="7" max="7" width="8.85546875" style="4"/>
    <col min="8" max="8" width="31.7109375" style="4" customWidth="1"/>
    <col min="9" max="9" width="8.85546875" style="4"/>
    <col min="10" max="10" width="35" style="4" customWidth="1"/>
    <col min="11" max="11" width="12" bestFit="1" customWidth="1"/>
    <col min="12" max="28" width="8.85546875" hidden="1" customWidth="1"/>
    <col min="29" max="80" width="8.85546875" customWidth="1"/>
    <col min="82" max="82" width="8.85546875" customWidth="1"/>
    <col min="91" max="91" width="8.85546875" customWidth="1"/>
    <col min="93" max="93" width="8.85546875" customWidth="1"/>
    <col min="95" max="99" width="8.85546875" customWidth="1"/>
    <col min="187" max="187" width="8.85546875" customWidth="1"/>
    <col min="189" max="193" width="8.85546875" customWidth="1"/>
    <col min="195" max="244" width="8.85546875" customWidth="1"/>
    <col min="246" max="246" width="8.85546875" customWidth="1"/>
    <col min="248" max="248" width="8.85546875" customWidth="1"/>
    <col min="250" max="250" width="8.85546875" customWidth="1"/>
    <col min="252" max="255" width="8.85546875" customWidth="1"/>
    <col min="265" max="396" width="8.85546875" customWidth="1"/>
  </cols>
  <sheetData>
    <row r="4" spans="7:397" s="1" customFormat="1" ht="151.9"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39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row>
    <row r="6" spans="7:39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row>
    <row r="7" spans="7:397">
      <c r="J7" s="4">
        <f>+AC7/$AC$17</f>
        <v>6.1264052331842504E-2</v>
      </c>
      <c r="K7" t="s">
        <v>386</v>
      </c>
      <c r="M7" t="s">
        <v>387</v>
      </c>
      <c r="N7">
        <v>2010</v>
      </c>
      <c r="AC7">
        <f>+data!S2</f>
        <v>69.124970455060335</v>
      </c>
      <c r="AD7">
        <f>+data!T2</f>
        <v>11.064302974640009</v>
      </c>
      <c r="AE7">
        <f>+data!AE2</f>
        <v>9.9170180997099973</v>
      </c>
      <c r="AF7">
        <f>+data!BS2</f>
        <v>0</v>
      </c>
      <c r="AG7">
        <f>+data!FU2</f>
        <v>0</v>
      </c>
      <c r="AH7">
        <f>+data!FW2</f>
        <v>0</v>
      </c>
      <c r="AI7">
        <f>+data!FX2</f>
        <v>0</v>
      </c>
      <c r="AJ7">
        <f>+data!FY2</f>
        <v>0</v>
      </c>
      <c r="AK7">
        <f>+data!FZ2</f>
        <v>0</v>
      </c>
      <c r="AL7">
        <f>+data!GA2</f>
        <v>0</v>
      </c>
      <c r="AM7">
        <f>+data!BU2</f>
        <v>0</v>
      </c>
      <c r="AN7">
        <f>+data!GC2</f>
        <v>0</v>
      </c>
      <c r="AO7">
        <f>+data!GD2</f>
        <v>0</v>
      </c>
      <c r="AP7">
        <f>+data!GE2</f>
        <v>0</v>
      </c>
      <c r="AQ7">
        <f>+data!GF2</f>
        <v>0</v>
      </c>
      <c r="AR7">
        <f>+data!GG2</f>
        <v>0</v>
      </c>
      <c r="AS7">
        <f>+data!GH2</f>
        <v>0</v>
      </c>
      <c r="AT7">
        <f>+data!GI2</f>
        <v>0</v>
      </c>
      <c r="AU7">
        <f>+data!BV2</f>
        <v>0</v>
      </c>
      <c r="AV7">
        <f>+data!GJ2</f>
        <v>0</v>
      </c>
      <c r="AW7">
        <f>+data!GK2</f>
        <v>0</v>
      </c>
      <c r="AX7">
        <f>+data!GL2</f>
        <v>0</v>
      </c>
      <c r="AY7">
        <f>+data!GM2</f>
        <v>0</v>
      </c>
      <c r="AZ7">
        <f>+data!BW2</f>
        <v>0</v>
      </c>
      <c r="BA7">
        <f>+data!GN2</f>
        <v>0</v>
      </c>
      <c r="BB7">
        <f>+data!GO2</f>
        <v>0</v>
      </c>
      <c r="BC7">
        <f>+data!GP2</f>
        <v>0</v>
      </c>
      <c r="BD7">
        <f>+data!GQ2</f>
        <v>0</v>
      </c>
      <c r="BE7">
        <f>+data!GR2</f>
        <v>0</v>
      </c>
      <c r="BF7">
        <f>+data!GS2</f>
        <v>0</v>
      </c>
      <c r="BG7">
        <f>+data!GT2</f>
        <v>0</v>
      </c>
      <c r="BH7">
        <f>+data!BX2</f>
        <v>0</v>
      </c>
      <c r="BI7">
        <f>+data!GU2</f>
        <v>0</v>
      </c>
      <c r="BJ7">
        <f>+data!GV2</f>
        <v>0</v>
      </c>
      <c r="BK7">
        <f>+data!GW2</f>
        <v>0</v>
      </c>
      <c r="BL7">
        <f>+data!GX2</f>
        <v>0</v>
      </c>
      <c r="BM7">
        <f>+data!GY2</f>
        <v>0</v>
      </c>
      <c r="BN7">
        <f>+data!BY2</f>
        <v>0</v>
      </c>
      <c r="BO7">
        <f>+data!GZ2</f>
        <v>0</v>
      </c>
      <c r="BP7">
        <f>+data!HA2</f>
        <v>0</v>
      </c>
      <c r="BQ7">
        <f>+data!HB2</f>
        <v>0</v>
      </c>
      <c r="BR7">
        <f>+data!HC2</f>
        <v>0</v>
      </c>
      <c r="BS7">
        <f>+data!HD2</f>
        <v>0</v>
      </c>
      <c r="BT7">
        <f>+data!HE2</f>
        <v>0</v>
      </c>
      <c r="BU7">
        <f>+data!HF2</f>
        <v>0</v>
      </c>
      <c r="BV7">
        <f>+data!HG2</f>
        <v>0</v>
      </c>
      <c r="BW7">
        <f>+data!HH2</f>
        <v>0</v>
      </c>
      <c r="BX7">
        <f>+data!BZ2</f>
        <v>0</v>
      </c>
      <c r="BY7">
        <f>+data!HI2</f>
        <v>0</v>
      </c>
      <c r="BZ7">
        <f>+data!HJ2</f>
        <v>0</v>
      </c>
      <c r="CA7">
        <f>+data!HK2</f>
        <v>0</v>
      </c>
      <c r="CB7">
        <f>+data!HL2</f>
        <v>0</v>
      </c>
      <c r="CC7">
        <f>+data!HM2</f>
        <v>0</v>
      </c>
      <c r="CD7">
        <f>+data!HN2</f>
        <v>0</v>
      </c>
      <c r="CE7">
        <f>+data!HO2</f>
        <v>0</v>
      </c>
      <c r="CF7">
        <f>+data!HP2</f>
        <v>0</v>
      </c>
      <c r="CG7">
        <f>+data!CA2</f>
        <v>0</v>
      </c>
      <c r="CH7">
        <f>+data!HQ2</f>
        <v>0</v>
      </c>
      <c r="CI7">
        <f>+data!HR2</f>
        <v>0</v>
      </c>
      <c r="CJ7">
        <f>+data!HS2</f>
        <v>0</v>
      </c>
      <c r="CK7">
        <f>+data!HT2</f>
        <v>0</v>
      </c>
      <c r="CL7">
        <f>+data!HU2</f>
        <v>0</v>
      </c>
      <c r="CM7">
        <f>+data!HV2</f>
        <v>0</v>
      </c>
      <c r="CN7">
        <f>+data!CB2</f>
        <v>0</v>
      </c>
      <c r="CO7">
        <f>+data!HW2</f>
        <v>0</v>
      </c>
      <c r="CP7">
        <f>+data!HX2</f>
        <v>0</v>
      </c>
      <c r="CQ7">
        <f>+data!HY2</f>
        <v>0</v>
      </c>
      <c r="CR7">
        <f>+data!HZ2</f>
        <v>0</v>
      </c>
      <c r="CS7">
        <f>+data!AG2</f>
        <v>1.1472875322800036</v>
      </c>
      <c r="CT7">
        <f>+data!CD2</f>
        <v>0</v>
      </c>
      <c r="CU7">
        <f>+data!IB2</f>
        <v>0</v>
      </c>
      <c r="CV7">
        <f>+data!ID2</f>
        <v>0</v>
      </c>
      <c r="CW7">
        <f>+data!IF2</f>
        <v>0</v>
      </c>
      <c r="CX7">
        <f>+data!CF2</f>
        <v>0</v>
      </c>
      <c r="CY7">
        <f>+data!IH2</f>
        <v>0</v>
      </c>
      <c r="CZ7">
        <f>+data!II2</f>
        <v>0</v>
      </c>
      <c r="DA7">
        <f>+data!IJ2</f>
        <v>0</v>
      </c>
      <c r="DB7">
        <f>+data!IK2</f>
        <v>0</v>
      </c>
      <c r="DC7">
        <f>+data!U2</f>
        <v>1.5334683714699999</v>
      </c>
      <c r="DD7">
        <f>+data!AH2</f>
        <v>0.66706547850999975</v>
      </c>
      <c r="DE7">
        <f>+data!CL2</f>
        <v>0</v>
      </c>
      <c r="DF7">
        <f>+data!IU2</f>
        <v>0</v>
      </c>
      <c r="DG7">
        <f>+data!CM2</f>
        <v>0</v>
      </c>
      <c r="DH7">
        <f>+data!IV2</f>
        <v>0</v>
      </c>
      <c r="DI7">
        <f>+data!IW2</f>
        <v>0</v>
      </c>
      <c r="DJ7">
        <f>+data!CN2</f>
        <v>0</v>
      </c>
      <c r="DK7">
        <f>+data!IX2</f>
        <v>0</v>
      </c>
      <c r="DL7">
        <f>+data!AI2</f>
        <v>0.86639961824999889</v>
      </c>
      <c r="DM7">
        <f>+data!CO2</f>
        <v>0</v>
      </c>
      <c r="DN7">
        <f>+data!IY2</f>
        <v>0</v>
      </c>
      <c r="DO7">
        <f>+data!IZ2</f>
        <v>0</v>
      </c>
      <c r="DP7">
        <f>+data!JA2</f>
        <v>0</v>
      </c>
      <c r="DQ7">
        <f>+data!AJ2</f>
        <v>0</v>
      </c>
      <c r="DR7">
        <f>+data!CP2</f>
        <v>0</v>
      </c>
      <c r="DS7">
        <f>+data!V2</f>
        <v>2.4181761937199981</v>
      </c>
      <c r="DT7">
        <f>+data!AK2</f>
        <v>1.8493791527699988</v>
      </c>
      <c r="DU7">
        <f>+data!CQ2</f>
        <v>7.4526506810000004E-2</v>
      </c>
      <c r="DV7">
        <f>+data!JB2</f>
        <v>7.4526506810000004E-2</v>
      </c>
      <c r="DW7">
        <f>+data!CR2</f>
        <v>1.6320444144600013</v>
      </c>
      <c r="DX7">
        <f>+data!JC2</f>
        <v>0.41323366065000039</v>
      </c>
      <c r="DY7">
        <f>+data!JD2</f>
        <v>0.95035432225999983</v>
      </c>
      <c r="DZ7">
        <f>+data!JE2</f>
        <v>0.17167558853000034</v>
      </c>
      <c r="EA7">
        <f>+data!CS2</f>
        <v>7.2788373080000038E-2</v>
      </c>
      <c r="EB7">
        <f>+data!JF2</f>
        <v>7.2788373080000038E-2</v>
      </c>
      <c r="EC7">
        <f>+data!CT2</f>
        <v>7.0021351340000024E-2</v>
      </c>
      <c r="ED7">
        <f>+data!JG2</f>
        <v>7.0021351340000024E-2</v>
      </c>
      <c r="EE7">
        <f>+data!AL2</f>
        <v>0.56879127359000026</v>
      </c>
      <c r="EF7">
        <f>+data!CU2</f>
        <v>0.53038714530000086</v>
      </c>
      <c r="EG7">
        <f>+data!JH2</f>
        <v>0.17000070446999985</v>
      </c>
      <c r="EH7">
        <f>+data!JI2</f>
        <v>0.28797149096000013</v>
      </c>
      <c r="EI7">
        <f>+data!JJ2</f>
        <v>7.2410587459999939E-2</v>
      </c>
      <c r="EJ7">
        <f>+data!CV2</f>
        <v>2.2177027870000001E-2</v>
      </c>
      <c r="EK7">
        <f>+data!JK2</f>
        <v>2.2177027870000001E-2</v>
      </c>
      <c r="EL7">
        <f>+data!W2</f>
        <v>29.85225641208001</v>
      </c>
      <c r="EM7">
        <f>+data!AM2</f>
        <v>14.480604599639985</v>
      </c>
      <c r="EN7">
        <f>+data!CW2</f>
        <v>14.433884129869984</v>
      </c>
      <c r="EO7">
        <f>+data!JL2</f>
        <v>14.433884129869984</v>
      </c>
      <c r="EP7">
        <f>+data!CX2</f>
        <v>4.6720070009999996E-2</v>
      </c>
      <c r="EQ7">
        <f>+data!JM2</f>
        <v>4.6720070009999996E-2</v>
      </c>
      <c r="ER7">
        <f>+data!AN2</f>
        <v>7.7810150359799879</v>
      </c>
      <c r="ES7">
        <f>+data!CY2</f>
        <v>6.0254483896799895</v>
      </c>
      <c r="ET7">
        <f>+data!JN2</f>
        <v>6.0254483896799895</v>
      </c>
      <c r="EU7">
        <f>+data!CZ2</f>
        <v>1.7555665843199999</v>
      </c>
      <c r="EV7">
        <f>+data!JO2</f>
        <v>1.6474109958299996</v>
      </c>
      <c r="EW7">
        <f>+data!JP2</f>
        <v>0.10815533754999998</v>
      </c>
      <c r="EX7">
        <f>+data!AO2</f>
        <v>0.32801743701000002</v>
      </c>
      <c r="EY7">
        <f>+data!DA2</f>
        <v>0.18044662937</v>
      </c>
      <c r="EZ7">
        <f>+data!JQ2</f>
        <v>0.18044662937</v>
      </c>
      <c r="FA7">
        <f>+data!DB2</f>
        <v>0.14757101331000008</v>
      </c>
      <c r="FB7">
        <f>+data!JR2</f>
        <v>0.14757101331000008</v>
      </c>
      <c r="FC7">
        <f>+data!AP2</f>
        <v>0</v>
      </c>
      <c r="FD7">
        <f>+data!DC2</f>
        <v>0</v>
      </c>
      <c r="FE7">
        <f>+data!JS2</f>
        <v>0</v>
      </c>
      <c r="FF7">
        <f>+data!DD2</f>
        <v>0</v>
      </c>
      <c r="FG7">
        <f>+data!JT2</f>
        <v>0</v>
      </c>
      <c r="FH7">
        <f>+data!DE2</f>
        <v>0</v>
      </c>
      <c r="FI7">
        <f>+data!JU2</f>
        <v>0</v>
      </c>
      <c r="FJ7">
        <f>+data!DF2</f>
        <v>0</v>
      </c>
      <c r="FK7">
        <f>+data!JV2</f>
        <v>0</v>
      </c>
      <c r="FL7">
        <f>+data!AQ2</f>
        <v>5.9269112196200018</v>
      </c>
      <c r="FM7">
        <f>+data!DG2</f>
        <v>2.6031207921200004</v>
      </c>
      <c r="FN7">
        <f>+data!JW2</f>
        <v>2.6031207921200004</v>
      </c>
      <c r="FO7">
        <f>+data!DH2</f>
        <v>1.2968087305700018</v>
      </c>
      <c r="FP7">
        <f>+data!JX2</f>
        <v>0</v>
      </c>
      <c r="FQ7">
        <f>+data!JY2</f>
        <v>0</v>
      </c>
      <c r="FR7">
        <f>+data!DI2</f>
        <v>1.0125046746099997</v>
      </c>
      <c r="FS7">
        <f>+data!JZ2</f>
        <v>1.0125046746099997</v>
      </c>
      <c r="FT7">
        <f>+data!DJ2</f>
        <v>0.15412141671999996</v>
      </c>
      <c r="FU7">
        <f>+data!KA2</f>
        <v>0.15412141671999996</v>
      </c>
      <c r="FV7">
        <f>+data!DK2</f>
        <v>0.86034612720000048</v>
      </c>
      <c r="FW7">
        <f>+data!KB2</f>
        <v>0.86034612720000048</v>
      </c>
      <c r="FX7">
        <f>+data!X2</f>
        <v>2.0465819865800023</v>
      </c>
      <c r="FY7">
        <f>+data!AR2</f>
        <v>0.56840501621999928</v>
      </c>
      <c r="FZ7">
        <f>+data!DL2</f>
        <v>0.48326868478999979</v>
      </c>
      <c r="GA7">
        <f>+data!KC2</f>
        <v>0.48326868478999979</v>
      </c>
      <c r="GB7">
        <f>+data!DM2</f>
        <v>7.2493565359999998E-2</v>
      </c>
      <c r="GC7">
        <f>+data!KD2</f>
        <v>7.2493565359999998E-2</v>
      </c>
      <c r="GD7">
        <f>+data!DN2</f>
        <v>1.2641790740000006E-2</v>
      </c>
      <c r="GE7">
        <f>+data!KE2</f>
        <v>1.2641790740000006E-2</v>
      </c>
      <c r="GF7">
        <f>+data!AS2</f>
        <v>0.18138616538999999</v>
      </c>
      <c r="GG7">
        <f>+data!DO2</f>
        <v>0.18138616538999999</v>
      </c>
      <c r="GH7">
        <f>+data!KF2</f>
        <v>0.18138616538999999</v>
      </c>
      <c r="GI7">
        <f>+data!AT2</f>
        <v>0.44531301870999945</v>
      </c>
      <c r="GJ7">
        <f>+data!DP2</f>
        <v>0.29751120098999984</v>
      </c>
      <c r="GK7">
        <f>+data!KG2</f>
        <v>8.5211694439999972E-2</v>
      </c>
      <c r="GL7">
        <f>+data!KH2</f>
        <v>0.11981121084999999</v>
      </c>
      <c r="GM7">
        <f>+data!KI2</f>
        <v>0</v>
      </c>
      <c r="GN7">
        <f>+data!KJ2</f>
        <v>0</v>
      </c>
      <c r="GO7">
        <f>+data!KK2</f>
        <v>0</v>
      </c>
      <c r="GP7">
        <f>+data!KL2</f>
        <v>0</v>
      </c>
      <c r="GQ7">
        <f>+data!KM2</f>
        <v>7.398877031999998E-2</v>
      </c>
      <c r="GR7">
        <f>+data!DQ2</f>
        <v>0.12225332893000011</v>
      </c>
      <c r="GS7">
        <f>+data!KN2</f>
        <v>0.12225332893000011</v>
      </c>
      <c r="GT7">
        <f>+data!DR2</f>
        <v>2.554921982E-2</v>
      </c>
      <c r="GU7">
        <f>+data!KO2</f>
        <v>2.554921982E-2</v>
      </c>
      <c r="GV7">
        <f>+data!AU2</f>
        <v>0.15940612955999978</v>
      </c>
      <c r="GW7">
        <f>+data!DS2</f>
        <v>6.9991023899999977E-3</v>
      </c>
      <c r="GX7">
        <f>+data!KP2</f>
        <v>0</v>
      </c>
      <c r="GY7">
        <f>+data!KQ2</f>
        <v>0</v>
      </c>
      <c r="GZ7">
        <f>+data!KR2</f>
        <v>0</v>
      </c>
      <c r="HA7">
        <f>+data!KS2</f>
        <v>6.9991023899999977E-3</v>
      </c>
      <c r="HB7">
        <f>+data!AV2</f>
        <v>0.26626751268000004</v>
      </c>
      <c r="HC7">
        <f>+data!DT2</f>
        <v>0</v>
      </c>
      <c r="HD7">
        <f>+data!KT2</f>
        <v>0</v>
      </c>
      <c r="HE7">
        <f>+data!DU2</f>
        <v>0</v>
      </c>
      <c r="HF7">
        <f>+data!KU2</f>
        <v>0</v>
      </c>
      <c r="HG7">
        <f>+data!AW2</f>
        <v>0.37416936493999964</v>
      </c>
      <c r="HH7">
        <f>+data!DV2</f>
        <v>0.27820016335000064</v>
      </c>
      <c r="HI7">
        <f>+data!KV2</f>
        <v>0</v>
      </c>
      <c r="HJ7">
        <f>+data!KW2</f>
        <v>0</v>
      </c>
      <c r="HK7">
        <f>+data!DW2</f>
        <v>9.596814608999997E-2</v>
      </c>
      <c r="HL7">
        <f>+data!KX2</f>
        <v>0</v>
      </c>
      <c r="HM7">
        <f>+data!KY2</f>
        <v>0</v>
      </c>
      <c r="HN7">
        <f>+data!Y2</f>
        <v>1.7833691781299996</v>
      </c>
      <c r="HO7">
        <f>+data!AX2</f>
        <v>1.1244482073199999</v>
      </c>
      <c r="HP7">
        <f>+data!DX2</f>
        <v>0.58394277728999988</v>
      </c>
      <c r="HQ7">
        <f>+data!KZ2</f>
        <v>0.58394277728999988</v>
      </c>
      <c r="HR7">
        <f>+data!DY2</f>
        <v>0.17880683848000001</v>
      </c>
      <c r="HS7">
        <f>+data!LA2</f>
        <v>0.17880683848000001</v>
      </c>
      <c r="HT7">
        <f>+data!DZ2</f>
        <v>0.36170337961000043</v>
      </c>
      <c r="HU7">
        <f>+data!LB2</f>
        <v>0.36170337961000043</v>
      </c>
      <c r="HV7">
        <f>+data!AY2</f>
        <v>0.5954107120099984</v>
      </c>
      <c r="HW7">
        <f>+data!EA2</f>
        <v>0.29924769011999991</v>
      </c>
      <c r="HX7">
        <f>+data!LC2</f>
        <v>0.29924769011999991</v>
      </c>
      <c r="HY7">
        <f>+data!EB2</f>
        <v>0.22839388551999992</v>
      </c>
      <c r="HZ7">
        <f>+data!LD2</f>
        <v>0.22839388551999992</v>
      </c>
      <c r="IA7">
        <f>+data!EC2</f>
        <v>6.7758360789999986E-2</v>
      </c>
      <c r="IB7">
        <f>+data!LE2</f>
        <v>0</v>
      </c>
      <c r="IC7">
        <f>+data!LF2</f>
        <v>0</v>
      </c>
      <c r="ID7">
        <f>+data!LG2</f>
        <v>6.7758360789999986E-2</v>
      </c>
      <c r="IE7">
        <f>+data!AZ2</f>
        <v>6.2126487630000025E-2</v>
      </c>
      <c r="IF7">
        <f>+data!Z2</f>
        <v>5.8938798930700074</v>
      </c>
      <c r="IG7">
        <f>+data!BA2</f>
        <v>1.0088590555600003</v>
      </c>
      <c r="IH7">
        <f>+data!ED2</f>
        <v>0.79334871751999991</v>
      </c>
      <c r="II7">
        <f>+data!LH2</f>
        <v>0.29041186252000001</v>
      </c>
      <c r="IJ7">
        <f>+data!LI2</f>
        <v>0.50293685500000007</v>
      </c>
      <c r="IK7">
        <f>+data!EE2</f>
        <v>1.9276604159999995E-2</v>
      </c>
      <c r="IL7">
        <f>+data!LJ2</f>
        <v>1.9276604159999995E-2</v>
      </c>
      <c r="IM7">
        <f>+data!EF2</f>
        <v>7.6869935359999989E-2</v>
      </c>
      <c r="IN7">
        <f>+data!LK2</f>
        <v>7.6869935359999989E-2</v>
      </c>
      <c r="IO7">
        <f>+data!EG2</f>
        <v>0</v>
      </c>
      <c r="IP7">
        <f>+data!LL2</f>
        <v>0</v>
      </c>
      <c r="IQ7">
        <f>+data!BB2</f>
        <v>4.2310888526299975</v>
      </c>
      <c r="IR7">
        <f>+data!EH2</f>
        <v>0.32751113094999956</v>
      </c>
      <c r="IS7">
        <f>+data!LM2</f>
        <v>0.32751113094999956</v>
      </c>
      <c r="IT7">
        <f>+data!EI2</f>
        <v>2.0217248437100031</v>
      </c>
      <c r="IU7">
        <f>+data!LN2</f>
        <v>2.0217248437100031</v>
      </c>
      <c r="IV7">
        <f>+data!EJ2</f>
        <v>0.59539489537000034</v>
      </c>
      <c r="IW7">
        <f>+data!LO2</f>
        <v>0.59539489537000034</v>
      </c>
      <c r="IX7">
        <f>+data!EK2</f>
        <v>1.2864601872399988</v>
      </c>
      <c r="IY7">
        <f>+data!LP2</f>
        <v>1.2864601872399988</v>
      </c>
      <c r="IZ7">
        <f>+data!BC2</f>
        <v>0.99290644515000059</v>
      </c>
      <c r="JA7">
        <f>+data!EL2</f>
        <v>0</v>
      </c>
      <c r="JB7">
        <f>+data!LQ2</f>
        <v>0</v>
      </c>
      <c r="JC7">
        <f>+data!EM2</f>
        <v>0</v>
      </c>
      <c r="JD7">
        <f>+data!LR2</f>
        <v>0</v>
      </c>
      <c r="JE7">
        <f>+data!EN2</f>
        <v>0.11724809634999998</v>
      </c>
      <c r="JF7">
        <f>+data!LS2</f>
        <v>0.11724809634999998</v>
      </c>
      <c r="JG7">
        <f>+data!EO2</f>
        <v>0</v>
      </c>
      <c r="JH7">
        <f>+data!LT2</f>
        <v>0</v>
      </c>
      <c r="JI7">
        <f>+data!EP2</f>
        <v>0</v>
      </c>
      <c r="JJ7">
        <f>+data!LU2</f>
        <v>0</v>
      </c>
      <c r="JK7">
        <f>+data!EQ2</f>
        <v>0</v>
      </c>
      <c r="JL7">
        <f>+data!LV2</f>
        <v>0</v>
      </c>
      <c r="JM7">
        <f>+data!AA2</f>
        <v>2.605367305559998</v>
      </c>
      <c r="JN7">
        <f>+data!BD2</f>
        <v>0.21411819634000001</v>
      </c>
      <c r="JO7">
        <f>+data!ER2</f>
        <v>0.21411819634000001</v>
      </c>
      <c r="JP7">
        <f>+data!LW2</f>
        <v>0</v>
      </c>
      <c r="JQ7">
        <f>+data!BE2</f>
        <v>8.5817322570000076E-2</v>
      </c>
      <c r="JR7">
        <f>+data!ES2</f>
        <v>8.5817322570000076E-2</v>
      </c>
      <c r="JS7">
        <f>+data!LX2</f>
        <v>8.5817322570000076E-2</v>
      </c>
      <c r="JT7">
        <f>+data!BF2</f>
        <v>2.3054389179699992</v>
      </c>
      <c r="JU7">
        <f>+data!ET2</f>
        <v>2.3054389179699992</v>
      </c>
      <c r="JV7">
        <f>+data!LY2</f>
        <v>2.3054389179699992</v>
      </c>
      <c r="JW7">
        <f>+data!AB2</f>
        <v>4.8016239927799944</v>
      </c>
      <c r="JX7">
        <f>+data!BG2</f>
        <v>0.6689253674900002</v>
      </c>
      <c r="JY7">
        <f>+data!EU2</f>
        <v>0.24017587123000006</v>
      </c>
      <c r="JZ7">
        <f>+data!LZ2</f>
        <v>6.5415224479999964E-2</v>
      </c>
      <c r="KA7">
        <f>+data!MA2</f>
        <v>0.17476039895000003</v>
      </c>
      <c r="KB7">
        <f>+data!EV2</f>
        <v>5.5499845050000024E-2</v>
      </c>
      <c r="KC7">
        <f>+data!MB2</f>
        <v>5.5499845050000024E-2</v>
      </c>
      <c r="KD7">
        <f>+data!MC2</f>
        <v>0</v>
      </c>
      <c r="KE7">
        <f>+data!EW2</f>
        <v>0.17683145559999985</v>
      </c>
      <c r="KF7">
        <f>+data!MD2</f>
        <v>0.17683145559999985</v>
      </c>
      <c r="KG7">
        <f>+data!EX2</f>
        <v>0.15901910973999983</v>
      </c>
      <c r="KH7">
        <f>+data!ME2</f>
        <v>0.15901910973999983</v>
      </c>
      <c r="KI7">
        <f>+data!EY2</f>
        <v>3.7398195910000001E-2</v>
      </c>
      <c r="KJ7">
        <f>+data!MF2</f>
        <v>3.7398195910000001E-2</v>
      </c>
      <c r="KK7">
        <f>+data!BH2</f>
        <v>4.019876758000001E-2</v>
      </c>
      <c r="KL7">
        <f>+data!EZ2</f>
        <v>2.7439070239999995E-2</v>
      </c>
      <c r="KM7">
        <f>+data!MG2</f>
        <v>2.7439070239999995E-2</v>
      </c>
      <c r="KN7">
        <f>+data!FA2</f>
        <v>0</v>
      </c>
      <c r="KO7">
        <f>+data!MH2</f>
        <v>0</v>
      </c>
      <c r="KP7">
        <f>+data!MI2</f>
        <v>0</v>
      </c>
      <c r="KQ7">
        <f>+data!FB2</f>
        <v>1.2759554109999998E-2</v>
      </c>
      <c r="KR7">
        <f>+data!MJ2</f>
        <v>1.2759554109999998E-2</v>
      </c>
      <c r="KS7">
        <f>+data!BI2</f>
        <v>1.022810353899998</v>
      </c>
      <c r="KT7">
        <f>+data!FC2</f>
        <v>0.1736083208999997</v>
      </c>
      <c r="KU7">
        <f>+data!MK2</f>
        <v>0.1736083208999997</v>
      </c>
      <c r="KV7">
        <f>+data!FD2</f>
        <v>7.8143943430000015E-2</v>
      </c>
      <c r="KW7">
        <f>+data!ML2</f>
        <v>7.8143943430000015E-2</v>
      </c>
      <c r="KX7">
        <f>+data!FE2</f>
        <v>0.38009989791000021</v>
      </c>
      <c r="KY7">
        <f>+data!MM2</f>
        <v>0.38009989791000021</v>
      </c>
      <c r="KZ7">
        <f>+data!FF2</f>
        <v>0.3909629930200002</v>
      </c>
      <c r="LA7">
        <f>+data!MN2</f>
        <v>0.3909629930200002</v>
      </c>
      <c r="LB7">
        <f>+data!FG2</f>
        <v>0</v>
      </c>
      <c r="LC7">
        <f>+data!MO2</f>
        <v>0</v>
      </c>
      <c r="LD7">
        <f>+data!BJ2</f>
        <v>1.2697264460500002</v>
      </c>
      <c r="LE7">
        <f>+data!FH2</f>
        <v>0.32471153395999985</v>
      </c>
      <c r="LF7">
        <f>+data!MP2</f>
        <v>0.32471153395999985</v>
      </c>
      <c r="LG7">
        <f>+data!FI2</f>
        <v>0.68760132688000042</v>
      </c>
      <c r="LH7">
        <f>+data!MQ2</f>
        <v>0</v>
      </c>
      <c r="LI7">
        <f>+data!MR2</f>
        <v>0</v>
      </c>
      <c r="LJ7">
        <f>+data!MS2</f>
        <v>0.58417624942000035</v>
      </c>
      <c r="LK7">
        <f>+data!MT2</f>
        <v>0.10343157486000013</v>
      </c>
      <c r="LL7">
        <f>+data!FJ2</f>
        <v>0</v>
      </c>
      <c r="LM7">
        <f>+data!MU2</f>
        <v>0</v>
      </c>
      <c r="LN7">
        <f>+data!BK2</f>
        <v>1.1745081453399968</v>
      </c>
      <c r="LO7">
        <f>+data!FK2</f>
        <v>0.29340300273000003</v>
      </c>
      <c r="LP7">
        <f>+data!MV2</f>
        <v>0.29340300273000003</v>
      </c>
      <c r="LQ7">
        <f>+data!FL2</f>
        <v>0.53999100955000034</v>
      </c>
      <c r="LR7">
        <f>+data!MW2</f>
        <v>0.53999100955000034</v>
      </c>
      <c r="LS7">
        <f>+data!FM2</f>
        <v>0.34113182132000036</v>
      </c>
      <c r="LT7">
        <f>+data!MX2</f>
        <v>0.34113182132000036</v>
      </c>
      <c r="LU7">
        <f>+data!FN2</f>
        <v>0</v>
      </c>
      <c r="LV7">
        <f>+data!MY2</f>
        <v>0</v>
      </c>
      <c r="LW7">
        <f>+data!BL2</f>
        <v>0.62547470533999971</v>
      </c>
      <c r="LX7">
        <f>+data!AC2</f>
        <v>0.39851344841999992</v>
      </c>
      <c r="LY7">
        <f>+data!BM2</f>
        <v>0</v>
      </c>
      <c r="LZ7">
        <f>+data!FO2</f>
        <v>0</v>
      </c>
      <c r="MA7">
        <f>+data!MZ2</f>
        <v>0</v>
      </c>
      <c r="MB7">
        <f>+data!BN2</f>
        <v>0</v>
      </c>
      <c r="MC7">
        <f>+data!FP2</f>
        <v>0</v>
      </c>
      <c r="MD7">
        <f>+data!NA2</f>
        <v>0</v>
      </c>
      <c r="ME7">
        <f>+data!BO2</f>
        <v>0</v>
      </c>
      <c r="MF7">
        <f>+data!FQ2</f>
        <v>0</v>
      </c>
      <c r="MG7">
        <f>+data!NB2</f>
        <v>0</v>
      </c>
      <c r="MH7">
        <f>+data!BP2</f>
        <v>0</v>
      </c>
      <c r="MI7">
        <f>+data!FR2</f>
        <v>0</v>
      </c>
      <c r="MJ7">
        <f>+data!NC2</f>
        <v>0</v>
      </c>
      <c r="MK7">
        <f>+data!BQ2</f>
        <v>8.2600261320000062E-2</v>
      </c>
      <c r="ML7">
        <f>+data!FS2</f>
        <v>8.2600261320000062E-2</v>
      </c>
      <c r="MM7">
        <f>+data!ND2</f>
        <v>8.2600261320000062E-2</v>
      </c>
      <c r="MN7">
        <f>+data!AD2</f>
        <v>1.9019653044799962</v>
      </c>
      <c r="MO7">
        <f>+data!BR2</f>
        <v>1.6122600010099972</v>
      </c>
      <c r="MP7">
        <f>+data!FT2</f>
        <v>1.4227176105799986</v>
      </c>
      <c r="MQ7">
        <f>+data!NE2</f>
        <v>0</v>
      </c>
      <c r="MR7">
        <f>+data!NF2</f>
        <v>0</v>
      </c>
      <c r="MS7">
        <f>+data!FV2</f>
        <v>0.18954241049000026</v>
      </c>
      <c r="MT7">
        <f>+data!NG2</f>
        <v>0.18954241049000026</v>
      </c>
      <c r="MU7">
        <f>+data!BT2</f>
        <v>0.28970539878999985</v>
      </c>
      <c r="MV7">
        <f>+data!GB2</f>
        <v>0.28970539878999985</v>
      </c>
      <c r="MW7">
        <f>+data!NH2</f>
        <v>0.28970539878999985</v>
      </c>
      <c r="MX7">
        <f>+data!AF2</f>
        <v>4.8254519638899831</v>
      </c>
      <c r="MY7">
        <f>+data!CC2</f>
        <v>1.6597115442100014</v>
      </c>
      <c r="MZ7">
        <f>+data!IA2</f>
        <v>0.62652517069000024</v>
      </c>
      <c r="NA7">
        <f>+data!NI2</f>
        <v>0.62652517069000024</v>
      </c>
      <c r="NB7">
        <f>+data!IC2</f>
        <v>3.6383393730000012E-2</v>
      </c>
      <c r="NC7">
        <f>+data!NJ2</f>
        <v>3.6383393730000012E-2</v>
      </c>
      <c r="ND7">
        <f>+data!IE2</f>
        <v>0.99679957813000253</v>
      </c>
      <c r="NE7">
        <f>+data!NK2</f>
        <v>0.99679957813000253</v>
      </c>
      <c r="NF7">
        <f>+data!CE2</f>
        <v>0</v>
      </c>
      <c r="NG7">
        <f>+data!IG2</f>
        <v>0</v>
      </c>
      <c r="NH7">
        <f>+data!NL2</f>
        <v>0</v>
      </c>
      <c r="NI7">
        <f>+data!CG2</f>
        <v>0.21960812819000006</v>
      </c>
      <c r="NJ7">
        <f>+data!IL2</f>
        <v>0.12009601399999993</v>
      </c>
      <c r="NK7">
        <f>+data!NM2</f>
        <v>0.12009601399999993</v>
      </c>
      <c r="NL7">
        <f>+data!IM2</f>
        <v>9.9512108599999996E-2</v>
      </c>
      <c r="NM7">
        <f>+data!NN2</f>
        <v>0</v>
      </c>
      <c r="NN7">
        <f>+data!NO2</f>
        <v>0</v>
      </c>
      <c r="NO7">
        <f>+data!CH2</f>
        <v>6.5183610200000019E-2</v>
      </c>
      <c r="NP7">
        <f>+data!IN2</f>
        <v>6.5183610200000019E-2</v>
      </c>
      <c r="NQ7">
        <f>+data!NP2</f>
        <v>3.1440365179999999E-2</v>
      </c>
      <c r="NR7">
        <f>+data!NQ2</f>
        <v>3.3743245019999993E-2</v>
      </c>
      <c r="NS7">
        <f>+data!CI2</f>
        <v>2.5342115638400045</v>
      </c>
      <c r="NT7">
        <f>+data!IO2</f>
        <v>0</v>
      </c>
      <c r="NU7">
        <f>+data!NR2</f>
        <v>0</v>
      </c>
      <c r="NV7">
        <f>+data!IP2</f>
        <v>1.0627597430500018</v>
      </c>
      <c r="NW7">
        <f>+data!NS2</f>
        <v>1.0627597430500018</v>
      </c>
      <c r="NX7">
        <f>+data!IQ2</f>
        <v>0.75547329405000019</v>
      </c>
      <c r="NY7">
        <f>+data!NT2</f>
        <v>0.75547329405000019</v>
      </c>
      <c r="NZ7">
        <f>+data!IR2</f>
        <v>0.71597211618999845</v>
      </c>
      <c r="OA7">
        <f>+data!NU2</f>
        <v>0.71597211618999845</v>
      </c>
      <c r="OB7">
        <f>+data!CJ2</f>
        <v>0.14804740625999993</v>
      </c>
      <c r="OC7">
        <f>+data!IS2</f>
        <v>0.14804740625999993</v>
      </c>
      <c r="OD7">
        <f>+data!NV2</f>
        <v>0.14804740625999993</v>
      </c>
      <c r="OE7">
        <f>+data!CK2</f>
        <v>0.16034100293000039</v>
      </c>
      <c r="OF7">
        <f>+data!IT2</f>
        <v>0.16034100293000039</v>
      </c>
      <c r="OG7">
        <f>+data!NW2</f>
        <v>0.13672817347999999</v>
      </c>
    </row>
    <row r="8" spans="7:397">
      <c r="J8" s="4">
        <f t="shared" ref="J8:J16" si="340">+AC8/$AC$17</f>
        <v>6.5548845269819078E-2</v>
      </c>
      <c r="K8" t="s">
        <v>388</v>
      </c>
      <c r="AC8">
        <f>+data!S3</f>
        <v>73.959554097019918</v>
      </c>
      <c r="AD8">
        <f>+data!T3</f>
        <v>11.463062013509989</v>
      </c>
      <c r="AE8">
        <f>+data!AE3</f>
        <v>10.28754622722002</v>
      </c>
      <c r="AF8">
        <f>+data!BS3</f>
        <v>0</v>
      </c>
      <c r="AG8">
        <f>+data!FU3</f>
        <v>0</v>
      </c>
      <c r="AH8">
        <f>+data!FW3</f>
        <v>0</v>
      </c>
      <c r="AI8">
        <f>+data!FX3</f>
        <v>0</v>
      </c>
      <c r="AJ8">
        <f>+data!FY3</f>
        <v>0</v>
      </c>
      <c r="AK8">
        <f>+data!FZ3</f>
        <v>0</v>
      </c>
      <c r="AL8">
        <f>+data!GA3</f>
        <v>0</v>
      </c>
      <c r="AM8">
        <f>+data!BU3</f>
        <v>0</v>
      </c>
      <c r="AN8">
        <f>+data!GC3</f>
        <v>0</v>
      </c>
      <c r="AO8">
        <f>+data!GD3</f>
        <v>0</v>
      </c>
      <c r="AP8">
        <f>+data!GE3</f>
        <v>0</v>
      </c>
      <c r="AQ8">
        <f>+data!GF3</f>
        <v>0</v>
      </c>
      <c r="AR8">
        <f>+data!GG3</f>
        <v>0</v>
      </c>
      <c r="AS8">
        <f>+data!GH3</f>
        <v>0</v>
      </c>
      <c r="AT8">
        <f>+data!GI3</f>
        <v>0</v>
      </c>
      <c r="AU8">
        <f>+data!BV3</f>
        <v>0</v>
      </c>
      <c r="AV8">
        <f>+data!GJ3</f>
        <v>0</v>
      </c>
      <c r="AW8">
        <f>+data!GK3</f>
        <v>0</v>
      </c>
      <c r="AX8">
        <f>+data!GL3</f>
        <v>0</v>
      </c>
      <c r="AY8">
        <f>+data!GM3</f>
        <v>0</v>
      </c>
      <c r="AZ8">
        <f>+data!BW3</f>
        <v>0</v>
      </c>
      <c r="BA8">
        <f>+data!GN3</f>
        <v>0</v>
      </c>
      <c r="BB8">
        <f>+data!GO3</f>
        <v>0</v>
      </c>
      <c r="BC8">
        <f>+data!GP3</f>
        <v>0</v>
      </c>
      <c r="BD8">
        <f>+data!GQ3</f>
        <v>0</v>
      </c>
      <c r="BE8">
        <f>+data!GR3</f>
        <v>0</v>
      </c>
      <c r="BF8">
        <f>+data!GS3</f>
        <v>0</v>
      </c>
      <c r="BG8">
        <f>+data!GT3</f>
        <v>0</v>
      </c>
      <c r="BH8">
        <f>+data!BX3</f>
        <v>0</v>
      </c>
      <c r="BI8">
        <f>+data!GU3</f>
        <v>0</v>
      </c>
      <c r="BJ8">
        <f>+data!GV3</f>
        <v>0</v>
      </c>
      <c r="BK8">
        <f>+data!GW3</f>
        <v>0</v>
      </c>
      <c r="BL8">
        <f>+data!GX3</f>
        <v>0</v>
      </c>
      <c r="BM8">
        <f>+data!GY3</f>
        <v>0</v>
      </c>
      <c r="BN8">
        <f>+data!BY3</f>
        <v>0</v>
      </c>
      <c r="BO8">
        <f>+data!GZ3</f>
        <v>0</v>
      </c>
      <c r="BP8">
        <f>+data!HA3</f>
        <v>0</v>
      </c>
      <c r="BQ8">
        <f>+data!HB3</f>
        <v>0</v>
      </c>
      <c r="BR8">
        <f>+data!HC3</f>
        <v>0</v>
      </c>
      <c r="BS8">
        <f>+data!HD3</f>
        <v>0</v>
      </c>
      <c r="BT8">
        <f>+data!HE3</f>
        <v>0</v>
      </c>
      <c r="BU8">
        <f>+data!HF3</f>
        <v>0</v>
      </c>
      <c r="BV8">
        <f>+data!HG3</f>
        <v>0</v>
      </c>
      <c r="BW8">
        <f>+data!HH3</f>
        <v>0</v>
      </c>
      <c r="BX8">
        <f>+data!BZ3</f>
        <v>0</v>
      </c>
      <c r="BY8">
        <f>+data!HI3</f>
        <v>0</v>
      </c>
      <c r="BZ8">
        <f>+data!HJ3</f>
        <v>0</v>
      </c>
      <c r="CA8">
        <f>+data!HK3</f>
        <v>0</v>
      </c>
      <c r="CB8">
        <f>+data!HL3</f>
        <v>0</v>
      </c>
      <c r="CC8">
        <f>+data!HM3</f>
        <v>0</v>
      </c>
      <c r="CD8">
        <f>+data!HN3</f>
        <v>0</v>
      </c>
      <c r="CE8">
        <f>+data!HO3</f>
        <v>0</v>
      </c>
      <c r="CF8">
        <f>+data!HP3</f>
        <v>0</v>
      </c>
      <c r="CG8">
        <f>+data!CA3</f>
        <v>0</v>
      </c>
      <c r="CH8">
        <f>+data!HQ3</f>
        <v>0</v>
      </c>
      <c r="CI8">
        <f>+data!HR3</f>
        <v>0</v>
      </c>
      <c r="CJ8">
        <f>+data!HS3</f>
        <v>0</v>
      </c>
      <c r="CK8">
        <f>+data!HT3</f>
        <v>0</v>
      </c>
      <c r="CL8">
        <f>+data!HU3</f>
        <v>0</v>
      </c>
      <c r="CM8">
        <f>+data!HV3</f>
        <v>0</v>
      </c>
      <c r="CN8">
        <f>+data!CB3</f>
        <v>0</v>
      </c>
      <c r="CO8">
        <f>+data!HW3</f>
        <v>0</v>
      </c>
      <c r="CP8">
        <f>+data!HX3</f>
        <v>0</v>
      </c>
      <c r="CQ8">
        <f>+data!HY3</f>
        <v>0</v>
      </c>
      <c r="CR8">
        <f>+data!HZ3</f>
        <v>0</v>
      </c>
      <c r="CS8">
        <f>+data!AG3</f>
        <v>1.1755110247799982</v>
      </c>
      <c r="CT8">
        <f>+data!CD3</f>
        <v>0</v>
      </c>
      <c r="CU8">
        <f>+data!IB3</f>
        <v>0</v>
      </c>
      <c r="CV8">
        <f>+data!ID3</f>
        <v>0</v>
      </c>
      <c r="CW8">
        <f>+data!IF3</f>
        <v>0</v>
      </c>
      <c r="CX8">
        <f>+data!CF3</f>
        <v>0</v>
      </c>
      <c r="CY8">
        <f>+data!IH3</f>
        <v>0</v>
      </c>
      <c r="CZ8">
        <f>+data!II3</f>
        <v>0</v>
      </c>
      <c r="DA8">
        <f>+data!IJ3</f>
        <v>0</v>
      </c>
      <c r="DB8">
        <f>+data!IK3</f>
        <v>0</v>
      </c>
      <c r="DC8">
        <f>+data!U3</f>
        <v>1.4945381204300028</v>
      </c>
      <c r="DD8">
        <f>+data!AH3</f>
        <v>0.68021227112999938</v>
      </c>
      <c r="DE8">
        <f>+data!CL3</f>
        <v>0</v>
      </c>
      <c r="DF8">
        <f>+data!IU3</f>
        <v>0</v>
      </c>
      <c r="DG8">
        <f>+data!CM3</f>
        <v>0</v>
      </c>
      <c r="DH8">
        <f>+data!IV3</f>
        <v>0</v>
      </c>
      <c r="DI8">
        <f>+data!IW3</f>
        <v>0</v>
      </c>
      <c r="DJ8">
        <f>+data!CN3</f>
        <v>0</v>
      </c>
      <c r="DK8">
        <f>+data!IX3</f>
        <v>0</v>
      </c>
      <c r="DL8">
        <f>+data!AI3</f>
        <v>0.81432468947000181</v>
      </c>
      <c r="DM8">
        <f>+data!CO3</f>
        <v>0</v>
      </c>
      <c r="DN8">
        <f>+data!IY3</f>
        <v>0</v>
      </c>
      <c r="DO8">
        <f>+data!IZ3</f>
        <v>0</v>
      </c>
      <c r="DP8">
        <f>+data!JA3</f>
        <v>0</v>
      </c>
      <c r="DQ8">
        <f>+data!AJ3</f>
        <v>0</v>
      </c>
      <c r="DR8">
        <f>+data!CP3</f>
        <v>0</v>
      </c>
      <c r="DS8">
        <f>+data!V3</f>
        <v>2.8741140809700063</v>
      </c>
      <c r="DT8">
        <f>+data!AK3</f>
        <v>2.2121676114999973</v>
      </c>
      <c r="DU8">
        <f>+data!CQ3</f>
        <v>6.8140599350000025E-2</v>
      </c>
      <c r="DV8">
        <f>+data!JB3</f>
        <v>6.8140599350000025E-2</v>
      </c>
      <c r="DW8">
        <f>+data!CR3</f>
        <v>1.9999587859599963</v>
      </c>
      <c r="DX8">
        <f>+data!JC3</f>
        <v>0.4841949830599992</v>
      </c>
      <c r="DY8">
        <f>+data!JD3</f>
        <v>1.1381870128999982</v>
      </c>
      <c r="DZ8">
        <f>+data!JE3</f>
        <v>0.27774750061999981</v>
      </c>
      <c r="EA8">
        <f>+data!CS3</f>
        <v>7.4458228660000111E-2</v>
      </c>
      <c r="EB8">
        <f>+data!JF3</f>
        <v>7.4458228660000111E-2</v>
      </c>
      <c r="EC8">
        <f>+data!CT3</f>
        <v>6.9612121379999989E-2</v>
      </c>
      <c r="ED8">
        <f>+data!JG3</f>
        <v>6.9612121379999989E-2</v>
      </c>
      <c r="EE8">
        <f>+data!AL3</f>
        <v>0.66193968768000122</v>
      </c>
      <c r="EF8">
        <f>+data!CU3</f>
        <v>0.62373889894000167</v>
      </c>
      <c r="EG8">
        <f>+data!JH3</f>
        <v>0.16727443815999993</v>
      </c>
      <c r="EH8">
        <f>+data!JI3</f>
        <v>0.33877368392999979</v>
      </c>
      <c r="EI8">
        <f>+data!JJ3</f>
        <v>0.11768268442000007</v>
      </c>
      <c r="EJ8">
        <f>+data!CV3</f>
        <v>2.2797559189999993E-2</v>
      </c>
      <c r="EK8">
        <f>+data!JK3</f>
        <v>2.2797559189999993E-2</v>
      </c>
      <c r="EL8">
        <f>+data!W3</f>
        <v>28.811172306390073</v>
      </c>
      <c r="EM8">
        <f>+data!AM3</f>
        <v>13.259265012219998</v>
      </c>
      <c r="EN8">
        <f>+data!CW3</f>
        <v>13.187124639149998</v>
      </c>
      <c r="EO8">
        <f>+data!JL3</f>
        <v>13.187124639149998</v>
      </c>
      <c r="EP8">
        <f>+data!CX3</f>
        <v>7.2140475519999997E-2</v>
      </c>
      <c r="EQ8">
        <f>+data!JM3</f>
        <v>7.2140475519999997E-2</v>
      </c>
      <c r="ER8">
        <f>+data!AN3</f>
        <v>7.8427234195599906</v>
      </c>
      <c r="ES8">
        <f>+data!CY3</f>
        <v>6.7845226410599917</v>
      </c>
      <c r="ET8">
        <f>+data!JN3</f>
        <v>6.7845226410599917</v>
      </c>
      <c r="EU8">
        <f>+data!CZ3</f>
        <v>1.05820072125</v>
      </c>
      <c r="EV8">
        <f>+data!JO3</f>
        <v>0.92089322395000028</v>
      </c>
      <c r="EW8">
        <f>+data!JP3</f>
        <v>0.13730758233000001</v>
      </c>
      <c r="EX8">
        <f>+data!AO3</f>
        <v>0.37973543117999969</v>
      </c>
      <c r="EY8">
        <f>+data!DA3</f>
        <v>0.24163114745</v>
      </c>
      <c r="EZ8">
        <f>+data!JQ3</f>
        <v>0.24163114745</v>
      </c>
      <c r="FA8">
        <f>+data!DB3</f>
        <v>0.13810465204000003</v>
      </c>
      <c r="FB8">
        <f>+data!JR3</f>
        <v>0.13810465204000003</v>
      </c>
      <c r="FC8">
        <f>+data!AP3</f>
        <v>0</v>
      </c>
      <c r="FD8">
        <f>+data!DC3</f>
        <v>0</v>
      </c>
      <c r="FE8">
        <f>+data!JS3</f>
        <v>0</v>
      </c>
      <c r="FF8">
        <f>+data!DD3</f>
        <v>0</v>
      </c>
      <c r="FG8">
        <f>+data!JT3</f>
        <v>0</v>
      </c>
      <c r="FH8">
        <f>+data!DE3</f>
        <v>0</v>
      </c>
      <c r="FI8">
        <f>+data!JU3</f>
        <v>0</v>
      </c>
      <c r="FJ8">
        <f>+data!DF3</f>
        <v>0</v>
      </c>
      <c r="FK8">
        <f>+data!JV3</f>
        <v>0</v>
      </c>
      <c r="FL8">
        <f>+data!AQ3</f>
        <v>5.8091564547400232</v>
      </c>
      <c r="FM8">
        <f>+data!DG3</f>
        <v>2.5096772646999956</v>
      </c>
      <c r="FN8">
        <f>+data!JW3</f>
        <v>2.5096772646999956</v>
      </c>
      <c r="FO8">
        <f>+data!DH3</f>
        <v>1.3841661318500005</v>
      </c>
      <c r="FP8">
        <f>+data!JX3</f>
        <v>0</v>
      </c>
      <c r="FQ8">
        <f>+data!JY3</f>
        <v>0</v>
      </c>
      <c r="FR8">
        <f>+data!DI3</f>
        <v>0.99989447415000043</v>
      </c>
      <c r="FS8">
        <f>+data!JZ3</f>
        <v>0.99989447415000043</v>
      </c>
      <c r="FT8">
        <f>+data!DJ3</f>
        <v>0.12847652539000004</v>
      </c>
      <c r="FU8">
        <f>+data!KA3</f>
        <v>0.12847652539000004</v>
      </c>
      <c r="FV8">
        <f>+data!DK3</f>
        <v>0.78693302475999871</v>
      </c>
      <c r="FW8">
        <f>+data!KB3</f>
        <v>0.78693302475999871</v>
      </c>
      <c r="FX8">
        <f>+data!X3</f>
        <v>2.7631082819799966</v>
      </c>
      <c r="FY8">
        <f>+data!AR3</f>
        <v>0.86329363741999932</v>
      </c>
      <c r="FZ8">
        <f>+data!DL3</f>
        <v>0.74616284243999953</v>
      </c>
      <c r="GA8">
        <f>+data!KC3</f>
        <v>0.74616284243999953</v>
      </c>
      <c r="GB8">
        <f>+data!DM3</f>
        <v>9.597858154000001E-2</v>
      </c>
      <c r="GC8">
        <f>+data!KD3</f>
        <v>9.597858154000001E-2</v>
      </c>
      <c r="GD8">
        <f>+data!DN3</f>
        <v>2.1151590900000006E-2</v>
      </c>
      <c r="GE8">
        <f>+data!KE3</f>
        <v>2.1151590900000006E-2</v>
      </c>
      <c r="GF8">
        <f>+data!AS3</f>
        <v>0.23375864530999946</v>
      </c>
      <c r="GG8">
        <f>+data!DO3</f>
        <v>0.23375864530999946</v>
      </c>
      <c r="GH8">
        <f>+data!KF3</f>
        <v>0.23375864530999946</v>
      </c>
      <c r="GI8">
        <f>+data!AT3</f>
        <v>0.63048494514999964</v>
      </c>
      <c r="GJ8">
        <f>+data!DP3</f>
        <v>0.44950424867999988</v>
      </c>
      <c r="GK8">
        <f>+data!KG3</f>
        <v>9.7140415110000045E-2</v>
      </c>
      <c r="GL8">
        <f>+data!KH3</f>
        <v>0.17634560925000003</v>
      </c>
      <c r="GM8">
        <f>+data!KI3</f>
        <v>0</v>
      </c>
      <c r="GN8">
        <f>+data!KJ3</f>
        <v>0</v>
      </c>
      <c r="GO8">
        <f>+data!KK3</f>
        <v>0</v>
      </c>
      <c r="GP8">
        <f>+data!KL3</f>
        <v>0</v>
      </c>
      <c r="GQ8">
        <f>+data!KM3</f>
        <v>0.16279989615999998</v>
      </c>
      <c r="GR8">
        <f>+data!DQ3</f>
        <v>0.15178771739000013</v>
      </c>
      <c r="GS8">
        <f>+data!KN3</f>
        <v>0.15178771739000013</v>
      </c>
      <c r="GT8">
        <f>+data!DR3</f>
        <v>2.9192104279999995E-2</v>
      </c>
      <c r="GU8">
        <f>+data!KO3</f>
        <v>2.9192104279999995E-2</v>
      </c>
      <c r="GV8">
        <f>+data!AU3</f>
        <v>0.19878543106000016</v>
      </c>
      <c r="GW8">
        <f>+data!DS3</f>
        <v>6.5887707800000011E-3</v>
      </c>
      <c r="GX8">
        <f>+data!KP3</f>
        <v>0</v>
      </c>
      <c r="GY8">
        <f>+data!KQ3</f>
        <v>0</v>
      </c>
      <c r="GZ8">
        <f>+data!KR3</f>
        <v>0</v>
      </c>
      <c r="HA8">
        <f>+data!KS3</f>
        <v>6.5887707800000011E-3</v>
      </c>
      <c r="HB8">
        <f>+data!AV3</f>
        <v>0.33889630542000021</v>
      </c>
      <c r="HC8">
        <f>+data!DT3</f>
        <v>0</v>
      </c>
      <c r="HD8">
        <f>+data!KT3</f>
        <v>0</v>
      </c>
      <c r="HE8">
        <f>+data!DU3</f>
        <v>0</v>
      </c>
      <c r="HF8">
        <f>+data!KU3</f>
        <v>0</v>
      </c>
      <c r="HG8">
        <f>+data!AW3</f>
        <v>0.42873320423999955</v>
      </c>
      <c r="HH8">
        <f>+data!DV3</f>
        <v>0.30964862293000006</v>
      </c>
      <c r="HI8">
        <f>+data!KV3</f>
        <v>0</v>
      </c>
      <c r="HJ8">
        <f>+data!KW3</f>
        <v>0</v>
      </c>
      <c r="HK8">
        <f>+data!DW3</f>
        <v>0.11908491470999992</v>
      </c>
      <c r="HL8">
        <f>+data!KX3</f>
        <v>0</v>
      </c>
      <c r="HM8">
        <f>+data!KY3</f>
        <v>0</v>
      </c>
      <c r="HN8">
        <f>+data!Y3</f>
        <v>2.0399891049799974</v>
      </c>
      <c r="HO8">
        <f>+data!AX3</f>
        <v>1.2959990638800021</v>
      </c>
      <c r="HP8">
        <f>+data!DX3</f>
        <v>0.61619997399000015</v>
      </c>
      <c r="HQ8">
        <f>+data!KZ3</f>
        <v>0.61619997399000015</v>
      </c>
      <c r="HR8">
        <f>+data!DY3</f>
        <v>0.21569590265000019</v>
      </c>
      <c r="HS8">
        <f>+data!LA3</f>
        <v>0.21569590265000019</v>
      </c>
      <c r="HT8">
        <f>+data!DZ3</f>
        <v>0.46410576251000052</v>
      </c>
      <c r="HU8">
        <f>+data!LB3</f>
        <v>0.46410576251000052</v>
      </c>
      <c r="HV8">
        <f>+data!AY3</f>
        <v>0.63765165755000153</v>
      </c>
      <c r="HW8">
        <f>+data!EA3</f>
        <v>0.30748268781999993</v>
      </c>
      <c r="HX8">
        <f>+data!LC3</f>
        <v>0.30748268781999993</v>
      </c>
      <c r="HY8">
        <f>+data!EB3</f>
        <v>0.24970248483999991</v>
      </c>
      <c r="HZ8">
        <f>+data!LD3</f>
        <v>0.24970248483999991</v>
      </c>
      <c r="IA8">
        <f>+data!EC3</f>
        <v>8.0452723650000002E-2</v>
      </c>
      <c r="IB8">
        <f>+data!LE3</f>
        <v>0</v>
      </c>
      <c r="IC8">
        <f>+data!LF3</f>
        <v>0</v>
      </c>
      <c r="ID8">
        <f>+data!LG3</f>
        <v>8.0452723650000002E-2</v>
      </c>
      <c r="IE8">
        <f>+data!AZ3</f>
        <v>0.10024816406000003</v>
      </c>
      <c r="IF8">
        <f>+data!Z3</f>
        <v>7.2038402286899892</v>
      </c>
      <c r="IG8">
        <f>+data!BA3</f>
        <v>1.1385798463399994</v>
      </c>
      <c r="IH8">
        <f>+data!ED3</f>
        <v>0.84175759503000014</v>
      </c>
      <c r="II8">
        <f>+data!LH3</f>
        <v>0.51673234189999995</v>
      </c>
      <c r="IJ8">
        <f>+data!LI3</f>
        <v>0.32502525312999991</v>
      </c>
      <c r="IK8">
        <f>+data!EE3</f>
        <v>1.961314569E-2</v>
      </c>
      <c r="IL8">
        <f>+data!LJ3</f>
        <v>1.961314569E-2</v>
      </c>
      <c r="IM8">
        <f>+data!EF3</f>
        <v>0.14867615623999997</v>
      </c>
      <c r="IN8">
        <f>+data!LK3</f>
        <v>0.14867615623999997</v>
      </c>
      <c r="IO8">
        <f>+data!EG3</f>
        <v>2.8924182000000001E-4</v>
      </c>
      <c r="IP8">
        <f>+data!LL3</f>
        <v>2.8924182000000001E-4</v>
      </c>
      <c r="IQ8">
        <f>+data!BB3</f>
        <v>5.3437626423599927</v>
      </c>
      <c r="IR8">
        <f>+data!EH3</f>
        <v>0.41017499767999976</v>
      </c>
      <c r="IS8">
        <f>+data!LM3</f>
        <v>0.41017499767999976</v>
      </c>
      <c r="IT8">
        <f>+data!EI3</f>
        <v>2.6241127785499994</v>
      </c>
      <c r="IU8">
        <f>+data!LN3</f>
        <v>2.6241127785499994</v>
      </c>
      <c r="IV8">
        <f>+data!EJ3</f>
        <v>0.80115696828999916</v>
      </c>
      <c r="IW8">
        <f>+data!LO3</f>
        <v>0.80115696828999916</v>
      </c>
      <c r="IX8">
        <f>+data!EK3</f>
        <v>1.5083264028399985</v>
      </c>
      <c r="IY8">
        <f>+data!LP3</f>
        <v>1.5083264028399985</v>
      </c>
      <c r="IZ8">
        <f>+data!BC3</f>
        <v>1.1001095923599982</v>
      </c>
      <c r="JA8">
        <f>+data!EL3</f>
        <v>0</v>
      </c>
      <c r="JB8">
        <f>+data!LQ3</f>
        <v>0</v>
      </c>
      <c r="JC8">
        <f>+data!EM3</f>
        <v>0</v>
      </c>
      <c r="JD8">
        <f>+data!LR3</f>
        <v>0</v>
      </c>
      <c r="JE8">
        <f>+data!EN3</f>
        <v>0.16018841931000002</v>
      </c>
      <c r="JF8">
        <f>+data!LS3</f>
        <v>0.16018841931000002</v>
      </c>
      <c r="JG8">
        <f>+data!EO3</f>
        <v>0</v>
      </c>
      <c r="JH8">
        <f>+data!LT3</f>
        <v>0</v>
      </c>
      <c r="JI8">
        <f>+data!EP3</f>
        <v>0</v>
      </c>
      <c r="JJ8">
        <f>+data!LU3</f>
        <v>0</v>
      </c>
      <c r="JK8">
        <f>+data!EQ3</f>
        <v>0</v>
      </c>
      <c r="JL8">
        <f>+data!LV3</f>
        <v>0</v>
      </c>
      <c r="JM8">
        <f>+data!AA3</f>
        <v>2.6730009284200107</v>
      </c>
      <c r="JN8">
        <f>+data!BD3</f>
        <v>0.22374630641000021</v>
      </c>
      <c r="JO8">
        <f>+data!ER3</f>
        <v>0.22374630641000021</v>
      </c>
      <c r="JP8">
        <f>+data!LW3</f>
        <v>0</v>
      </c>
      <c r="JQ8">
        <f>+data!BE3</f>
        <v>9.3383366290000033E-2</v>
      </c>
      <c r="JR8">
        <f>+data!ES3</f>
        <v>9.3383366290000033E-2</v>
      </c>
      <c r="JS8">
        <f>+data!LX3</f>
        <v>9.3383366290000033E-2</v>
      </c>
      <c r="JT8">
        <f>+data!BF3</f>
        <v>2.3558802813600095</v>
      </c>
      <c r="JU8">
        <f>+data!ET3</f>
        <v>2.3558802813600095</v>
      </c>
      <c r="JV8">
        <f>+data!LY3</f>
        <v>2.3558802813600095</v>
      </c>
      <c r="JW8">
        <f>+data!AB3</f>
        <v>6.3199713939800146</v>
      </c>
      <c r="JX8">
        <f>+data!BG3</f>
        <v>0.9065332933499991</v>
      </c>
      <c r="JY8">
        <f>+data!EU3</f>
        <v>0.29583713627000013</v>
      </c>
      <c r="JZ8">
        <f>+data!LZ3</f>
        <v>5.6040714969999988E-2</v>
      </c>
      <c r="KA8">
        <f>+data!MA3</f>
        <v>0.2397968712200001</v>
      </c>
      <c r="KB8">
        <f>+data!EV3</f>
        <v>8.5329994980000032E-2</v>
      </c>
      <c r="KC8">
        <f>+data!MB3</f>
        <v>8.5329994980000032E-2</v>
      </c>
      <c r="KD8">
        <f>+data!MC3</f>
        <v>0</v>
      </c>
      <c r="KE8">
        <f>+data!EW3</f>
        <v>0.30797560576999999</v>
      </c>
      <c r="KF8">
        <f>+data!MD3</f>
        <v>0.30797560576999999</v>
      </c>
      <c r="KG8">
        <f>+data!EX3</f>
        <v>0.1802135619600001</v>
      </c>
      <c r="KH8">
        <f>+data!ME3</f>
        <v>0.1802135619600001</v>
      </c>
      <c r="KI8">
        <f>+data!EY3</f>
        <v>3.717566806E-2</v>
      </c>
      <c r="KJ8">
        <f>+data!MF3</f>
        <v>3.717566806E-2</v>
      </c>
      <c r="KK8">
        <f>+data!BH3</f>
        <v>5.2944318610000006E-2</v>
      </c>
      <c r="KL8">
        <f>+data!EZ3</f>
        <v>4.6754937180000004E-2</v>
      </c>
      <c r="KM8">
        <f>+data!MG3</f>
        <v>4.6754937180000004E-2</v>
      </c>
      <c r="KN8">
        <f>+data!FA3</f>
        <v>0</v>
      </c>
      <c r="KO8">
        <f>+data!MH3</f>
        <v>0</v>
      </c>
      <c r="KP8">
        <f>+data!MI3</f>
        <v>0</v>
      </c>
      <c r="KQ8">
        <f>+data!FB3</f>
        <v>6.189381429999999E-3</v>
      </c>
      <c r="KR8">
        <f>+data!MJ3</f>
        <v>6.189381429999999E-3</v>
      </c>
      <c r="KS8">
        <f>+data!BI3</f>
        <v>1.3221855233499966</v>
      </c>
      <c r="KT8">
        <f>+data!FC3</f>
        <v>0.29428251520000048</v>
      </c>
      <c r="KU8">
        <f>+data!MK3</f>
        <v>0.29428251520000048</v>
      </c>
      <c r="KV8">
        <f>+data!FD3</f>
        <v>0.11014830352000003</v>
      </c>
      <c r="KW8">
        <f>+data!ML3</f>
        <v>0.11014830352000003</v>
      </c>
      <c r="KX8">
        <f>+data!FE3</f>
        <v>0.46534447666000045</v>
      </c>
      <c r="KY8">
        <f>+data!MM3</f>
        <v>0.46534447666000045</v>
      </c>
      <c r="KZ8">
        <f>+data!FF3</f>
        <v>0.45241141096999987</v>
      </c>
      <c r="LA8">
        <f>+data!MN3</f>
        <v>0.45241141096999987</v>
      </c>
      <c r="LB8">
        <f>+data!FG3</f>
        <v>0</v>
      </c>
      <c r="LC8">
        <f>+data!MO3</f>
        <v>0</v>
      </c>
      <c r="LD8">
        <f>+data!BJ3</f>
        <v>1.6009748647899971</v>
      </c>
      <c r="LE8">
        <f>+data!FH3</f>
        <v>0.42786038291000056</v>
      </c>
      <c r="LF8">
        <f>+data!MP3</f>
        <v>0.42786038291000056</v>
      </c>
      <c r="LG8">
        <f>+data!FI3</f>
        <v>0.83839521885000212</v>
      </c>
      <c r="LH8">
        <f>+data!MQ3</f>
        <v>0</v>
      </c>
      <c r="LI8">
        <f>+data!MR3</f>
        <v>0</v>
      </c>
      <c r="LJ8">
        <f>+data!MS3</f>
        <v>0.6896420644100002</v>
      </c>
      <c r="LK8">
        <f>+data!MT3</f>
        <v>0.14876349867999988</v>
      </c>
      <c r="LL8">
        <f>+data!FJ3</f>
        <v>0</v>
      </c>
      <c r="LM8">
        <f>+data!MU3</f>
        <v>0</v>
      </c>
      <c r="LN8">
        <f>+data!BK3</f>
        <v>1.3408618859400021</v>
      </c>
      <c r="LO8">
        <f>+data!FK3</f>
        <v>0.37014450105999963</v>
      </c>
      <c r="LP8">
        <f>+data!MV3</f>
        <v>0.37014450105999963</v>
      </c>
      <c r="LQ8">
        <f>+data!FL3</f>
        <v>0.57749688058999915</v>
      </c>
      <c r="LR8">
        <f>+data!MW3</f>
        <v>0.57749688058999915</v>
      </c>
      <c r="LS8">
        <f>+data!FM3</f>
        <v>0.3932279830100005</v>
      </c>
      <c r="LT8">
        <f>+data!MX3</f>
        <v>0.3932279830100005</v>
      </c>
      <c r="LU8">
        <f>+data!FN3</f>
        <v>0</v>
      </c>
      <c r="LV8">
        <f>+data!MY3</f>
        <v>0</v>
      </c>
      <c r="LW8">
        <f>+data!BL3</f>
        <v>1.0964806206100006</v>
      </c>
      <c r="LX8">
        <f>+data!AC3</f>
        <v>0.60418425039000068</v>
      </c>
      <c r="LY8">
        <f>+data!BM3</f>
        <v>0</v>
      </c>
      <c r="LZ8">
        <f>+data!FO3</f>
        <v>0</v>
      </c>
      <c r="MA8">
        <f>+data!MZ3</f>
        <v>0</v>
      </c>
      <c r="MB8">
        <f>+data!BN3</f>
        <v>0</v>
      </c>
      <c r="MC8">
        <f>+data!FP3</f>
        <v>0</v>
      </c>
      <c r="MD8">
        <f>+data!NA3</f>
        <v>0</v>
      </c>
      <c r="ME8">
        <f>+data!BO3</f>
        <v>0</v>
      </c>
      <c r="MF8">
        <f>+data!FQ3</f>
        <v>0</v>
      </c>
      <c r="MG8">
        <f>+data!NB3</f>
        <v>0</v>
      </c>
      <c r="MH8">
        <f>+data!BP3</f>
        <v>0</v>
      </c>
      <c r="MI8">
        <f>+data!FR3</f>
        <v>0</v>
      </c>
      <c r="MJ8">
        <f>+data!NC3</f>
        <v>0</v>
      </c>
      <c r="MK8">
        <f>+data!BQ3</f>
        <v>0.15339580579000012</v>
      </c>
      <c r="ML8">
        <f>+data!FS3</f>
        <v>0.15339580579000012</v>
      </c>
      <c r="MM8">
        <f>+data!ND3</f>
        <v>0.15339580579000012</v>
      </c>
      <c r="MN8">
        <f>+data!AD3</f>
        <v>2.2724670450099915</v>
      </c>
      <c r="MO8">
        <f>+data!BR3</f>
        <v>1.9062779021199932</v>
      </c>
      <c r="MP8">
        <f>+data!FT3</f>
        <v>1.6738389294599962</v>
      </c>
      <c r="MQ8">
        <f>+data!NE3</f>
        <v>0</v>
      </c>
      <c r="MR8">
        <f>+data!NF3</f>
        <v>0</v>
      </c>
      <c r="MS8">
        <f>+data!FV3</f>
        <v>0.23244161664999977</v>
      </c>
      <c r="MT8">
        <f>+data!NG3</f>
        <v>0.23244161664999977</v>
      </c>
      <c r="MU8">
        <f>+data!BT3</f>
        <v>0.36618731202999999</v>
      </c>
      <c r="MV8">
        <f>+data!GB3</f>
        <v>0.36618731202999999</v>
      </c>
      <c r="MW8">
        <f>+data!NH3</f>
        <v>0.36618731202999999</v>
      </c>
      <c r="MX8">
        <f>+data!AF3</f>
        <v>5.4401045488799822</v>
      </c>
      <c r="MY8">
        <f>+data!CC3</f>
        <v>1.8059151633699975</v>
      </c>
      <c r="MZ8">
        <f>+data!IA3</f>
        <v>0.71904351701000091</v>
      </c>
      <c r="NA8">
        <f>+data!NI3</f>
        <v>0.71904351701000091</v>
      </c>
      <c r="NB8">
        <f>+data!IC3</f>
        <v>3.2978597559999989E-2</v>
      </c>
      <c r="NC8">
        <f>+data!NJ3</f>
        <v>3.2978597559999989E-2</v>
      </c>
      <c r="ND8">
        <f>+data!IE3</f>
        <v>1.0538879364399985</v>
      </c>
      <c r="NE8">
        <f>+data!NK3</f>
        <v>1.0538879364399985</v>
      </c>
      <c r="NF8">
        <f>+data!CE3</f>
        <v>0</v>
      </c>
      <c r="NG8">
        <f>+data!IG3</f>
        <v>0</v>
      </c>
      <c r="NH8">
        <f>+data!NL3</f>
        <v>0</v>
      </c>
      <c r="NI8">
        <f>+data!CG3</f>
        <v>0.27571398724999963</v>
      </c>
      <c r="NJ8">
        <f>+data!IL3</f>
        <v>0.15355199959999963</v>
      </c>
      <c r="NK8">
        <f>+data!NM3</f>
        <v>0.15355199959999963</v>
      </c>
      <c r="NL8">
        <f>+data!IM3</f>
        <v>0.1221600961699998</v>
      </c>
      <c r="NM8">
        <f>+data!NN3</f>
        <v>0</v>
      </c>
      <c r="NN8">
        <f>+data!NO3</f>
        <v>0</v>
      </c>
      <c r="NO8">
        <f>+data!CH3</f>
        <v>0.10787428735</v>
      </c>
      <c r="NP8">
        <f>+data!IN3</f>
        <v>0.10787428735</v>
      </c>
      <c r="NQ8">
        <f>+data!NP3</f>
        <v>3.9866494730000007E-2</v>
      </c>
      <c r="NR8">
        <f>+data!NQ3</f>
        <v>6.8007792620000049E-2</v>
      </c>
      <c r="NS8">
        <f>+data!CI3</f>
        <v>2.8725591844399974</v>
      </c>
      <c r="NT8">
        <f>+data!IO3</f>
        <v>0</v>
      </c>
      <c r="NU8">
        <f>+data!NR3</f>
        <v>0</v>
      </c>
      <c r="NV8">
        <f>+data!IP3</f>
        <v>0.95012989760999877</v>
      </c>
      <c r="NW8">
        <f>+data!NS3</f>
        <v>0.95012989760999877</v>
      </c>
      <c r="NX8">
        <f>+data!IQ3</f>
        <v>1.0559656186400006</v>
      </c>
      <c r="NY8">
        <f>+data!NT3</f>
        <v>1.0559656186400006</v>
      </c>
      <c r="NZ8">
        <f>+data!IR3</f>
        <v>0.86646400577000138</v>
      </c>
      <c r="OA8">
        <f>+data!NU3</f>
        <v>0.86646400577000138</v>
      </c>
      <c r="OB8">
        <f>+data!CJ3</f>
        <v>0.15237733648000024</v>
      </c>
      <c r="OC8">
        <f>+data!IS3</f>
        <v>0.15237733648000024</v>
      </c>
      <c r="OD8">
        <f>+data!NV3</f>
        <v>0.15237733648000024</v>
      </c>
      <c r="OE8">
        <f>+data!CK3</f>
        <v>0.18432271159000013</v>
      </c>
      <c r="OF8">
        <f>+data!IT3</f>
        <v>0.18432271159000013</v>
      </c>
      <c r="OG8">
        <f>+data!NW3</f>
        <v>0.12792161362999999</v>
      </c>
    </row>
    <row r="9" spans="7:397">
      <c r="J9" s="4">
        <f t="shared" si="340"/>
        <v>7.2933279180586466E-2</v>
      </c>
      <c r="K9" t="s">
        <v>389</v>
      </c>
      <c r="AC9">
        <f>+data!S4</f>
        <v>82.291500099289692</v>
      </c>
      <c r="AD9">
        <f>+data!T4</f>
        <v>12.245759450799978</v>
      </c>
      <c r="AE9">
        <f>+data!AE4</f>
        <v>11.00681897835001</v>
      </c>
      <c r="AF9">
        <f>+data!BS4</f>
        <v>0</v>
      </c>
      <c r="AG9">
        <f>+data!FU4</f>
        <v>0</v>
      </c>
      <c r="AH9">
        <f>+data!FW4</f>
        <v>0</v>
      </c>
      <c r="AI9">
        <f>+data!FX4</f>
        <v>0</v>
      </c>
      <c r="AJ9">
        <f>+data!FY4</f>
        <v>0</v>
      </c>
      <c r="AK9">
        <f>+data!FZ4</f>
        <v>0</v>
      </c>
      <c r="AL9">
        <f>+data!GA4</f>
        <v>0</v>
      </c>
      <c r="AM9">
        <f>+data!BU4</f>
        <v>0</v>
      </c>
      <c r="AN9">
        <f>+data!GC4</f>
        <v>0</v>
      </c>
      <c r="AO9">
        <f>+data!GD4</f>
        <v>0</v>
      </c>
      <c r="AP9">
        <f>+data!GE4</f>
        <v>0</v>
      </c>
      <c r="AQ9">
        <f>+data!GF4</f>
        <v>0</v>
      </c>
      <c r="AR9">
        <f>+data!GG4</f>
        <v>0</v>
      </c>
      <c r="AS9">
        <f>+data!GH4</f>
        <v>0</v>
      </c>
      <c r="AT9">
        <f>+data!GI4</f>
        <v>0</v>
      </c>
      <c r="AU9">
        <f>+data!BV4</f>
        <v>0</v>
      </c>
      <c r="AV9">
        <f>+data!GJ4</f>
        <v>0</v>
      </c>
      <c r="AW9">
        <f>+data!GK4</f>
        <v>0</v>
      </c>
      <c r="AX9">
        <f>+data!GL4</f>
        <v>0</v>
      </c>
      <c r="AY9">
        <f>+data!GM4</f>
        <v>0</v>
      </c>
      <c r="AZ9">
        <f>+data!BW4</f>
        <v>0</v>
      </c>
      <c r="BA9">
        <f>+data!GN4</f>
        <v>0</v>
      </c>
      <c r="BB9">
        <f>+data!GO4</f>
        <v>0</v>
      </c>
      <c r="BC9">
        <f>+data!GP4</f>
        <v>0</v>
      </c>
      <c r="BD9">
        <f>+data!GQ4</f>
        <v>0</v>
      </c>
      <c r="BE9">
        <f>+data!GR4</f>
        <v>0</v>
      </c>
      <c r="BF9">
        <f>+data!GS4</f>
        <v>0</v>
      </c>
      <c r="BG9">
        <f>+data!GT4</f>
        <v>0</v>
      </c>
      <c r="BH9">
        <f>+data!BX4</f>
        <v>0</v>
      </c>
      <c r="BI9">
        <f>+data!GU4</f>
        <v>0</v>
      </c>
      <c r="BJ9">
        <f>+data!GV4</f>
        <v>0</v>
      </c>
      <c r="BK9">
        <f>+data!GW4</f>
        <v>0</v>
      </c>
      <c r="BL9">
        <f>+data!GX4</f>
        <v>0</v>
      </c>
      <c r="BM9">
        <f>+data!GY4</f>
        <v>0</v>
      </c>
      <c r="BN9">
        <f>+data!BY4</f>
        <v>0</v>
      </c>
      <c r="BO9">
        <f>+data!GZ4</f>
        <v>0</v>
      </c>
      <c r="BP9">
        <f>+data!HA4</f>
        <v>0</v>
      </c>
      <c r="BQ9">
        <f>+data!HB4</f>
        <v>0</v>
      </c>
      <c r="BR9">
        <f>+data!HC4</f>
        <v>0</v>
      </c>
      <c r="BS9">
        <f>+data!HD4</f>
        <v>0</v>
      </c>
      <c r="BT9">
        <f>+data!HE4</f>
        <v>0</v>
      </c>
      <c r="BU9">
        <f>+data!HF4</f>
        <v>0</v>
      </c>
      <c r="BV9">
        <f>+data!HG4</f>
        <v>0</v>
      </c>
      <c r="BW9">
        <f>+data!HH4</f>
        <v>0</v>
      </c>
      <c r="BX9">
        <f>+data!BZ4</f>
        <v>0</v>
      </c>
      <c r="BY9">
        <f>+data!HI4</f>
        <v>0</v>
      </c>
      <c r="BZ9">
        <f>+data!HJ4</f>
        <v>0</v>
      </c>
      <c r="CA9">
        <f>+data!HK4</f>
        <v>0</v>
      </c>
      <c r="CB9">
        <f>+data!HL4</f>
        <v>0</v>
      </c>
      <c r="CC9">
        <f>+data!HM4</f>
        <v>0</v>
      </c>
      <c r="CD9">
        <f>+data!HN4</f>
        <v>0</v>
      </c>
      <c r="CE9">
        <f>+data!HO4</f>
        <v>0</v>
      </c>
      <c r="CF9">
        <f>+data!HP4</f>
        <v>0</v>
      </c>
      <c r="CG9">
        <f>+data!CA4</f>
        <v>0</v>
      </c>
      <c r="CH9">
        <f>+data!HQ4</f>
        <v>0</v>
      </c>
      <c r="CI9">
        <f>+data!HR4</f>
        <v>0</v>
      </c>
      <c r="CJ9">
        <f>+data!HS4</f>
        <v>0</v>
      </c>
      <c r="CK9">
        <f>+data!HT4</f>
        <v>0</v>
      </c>
      <c r="CL9">
        <f>+data!HU4</f>
        <v>0</v>
      </c>
      <c r="CM9">
        <f>+data!HV4</f>
        <v>0</v>
      </c>
      <c r="CN9">
        <f>+data!CB4</f>
        <v>0</v>
      </c>
      <c r="CO9">
        <f>+data!HW4</f>
        <v>0</v>
      </c>
      <c r="CP9">
        <f>+data!HX4</f>
        <v>0</v>
      </c>
      <c r="CQ9">
        <f>+data!HY4</f>
        <v>0</v>
      </c>
      <c r="CR9">
        <f>+data!HZ4</f>
        <v>0</v>
      </c>
      <c r="CS9">
        <f>+data!AG4</f>
        <v>1.2389473557299999</v>
      </c>
      <c r="CT9">
        <f>+data!CD4</f>
        <v>0</v>
      </c>
      <c r="CU9">
        <f>+data!IB4</f>
        <v>0</v>
      </c>
      <c r="CV9">
        <f>+data!ID4</f>
        <v>0</v>
      </c>
      <c r="CW9">
        <f>+data!IF4</f>
        <v>0</v>
      </c>
      <c r="CX9">
        <f>+data!CF4</f>
        <v>0</v>
      </c>
      <c r="CY9">
        <f>+data!IH4</f>
        <v>0</v>
      </c>
      <c r="CZ9">
        <f>+data!II4</f>
        <v>0</v>
      </c>
      <c r="DA9">
        <f>+data!IJ4</f>
        <v>0</v>
      </c>
      <c r="DB9">
        <f>+data!IK4</f>
        <v>0</v>
      </c>
      <c r="DC9">
        <f>+data!U4</f>
        <v>1.5564218328700008</v>
      </c>
      <c r="DD9">
        <f>+data!AH4</f>
        <v>0.78644723388999926</v>
      </c>
      <c r="DE9">
        <f>+data!CL4</f>
        <v>0</v>
      </c>
      <c r="DF9">
        <f>+data!IU4</f>
        <v>0</v>
      </c>
      <c r="DG9">
        <f>+data!CM4</f>
        <v>0</v>
      </c>
      <c r="DH9">
        <f>+data!IV4</f>
        <v>0</v>
      </c>
      <c r="DI9">
        <f>+data!IW4</f>
        <v>0</v>
      </c>
      <c r="DJ9">
        <f>+data!CN4</f>
        <v>0</v>
      </c>
      <c r="DK9">
        <f>+data!IX4</f>
        <v>0</v>
      </c>
      <c r="DL9">
        <f>+data!AI4</f>
        <v>0.76997303720999943</v>
      </c>
      <c r="DM9">
        <f>+data!CO4</f>
        <v>0</v>
      </c>
      <c r="DN9">
        <f>+data!IY4</f>
        <v>0</v>
      </c>
      <c r="DO9">
        <f>+data!IZ4</f>
        <v>0</v>
      </c>
      <c r="DP9">
        <f>+data!JA4</f>
        <v>0</v>
      </c>
      <c r="DQ9">
        <f>+data!AJ4</f>
        <v>0</v>
      </c>
      <c r="DR9">
        <f>+data!CP4</f>
        <v>0</v>
      </c>
      <c r="DS9">
        <f>+data!V4</f>
        <v>3.34869465118999</v>
      </c>
      <c r="DT9">
        <f>+data!AK4</f>
        <v>2.6270682460100026</v>
      </c>
      <c r="DU9">
        <f>+data!CQ4</f>
        <v>6.9154365399999987E-2</v>
      </c>
      <c r="DV9">
        <f>+data!JB4</f>
        <v>6.9154365399999987E-2</v>
      </c>
      <c r="DW9">
        <f>+data!CR4</f>
        <v>2.3863085930499945</v>
      </c>
      <c r="DX9">
        <f>+data!JC4</f>
        <v>0.60504997073000066</v>
      </c>
      <c r="DY9">
        <f>+data!JD4</f>
        <v>1.3525697343900001</v>
      </c>
      <c r="DZ9">
        <f>+data!JE4</f>
        <v>0.32182191369000024</v>
      </c>
      <c r="EA9">
        <f>+data!CS4</f>
        <v>9.0337072309999891E-2</v>
      </c>
      <c r="EB9">
        <f>+data!JF4</f>
        <v>9.0337072309999891E-2</v>
      </c>
      <c r="EC9">
        <f>+data!CT4</f>
        <v>8.1266007620000011E-2</v>
      </c>
      <c r="ED9">
        <f>+data!JG4</f>
        <v>8.1266007620000011E-2</v>
      </c>
      <c r="EE9">
        <f>+data!AL4</f>
        <v>0.72162690963999987</v>
      </c>
      <c r="EF9">
        <f>+data!CU4</f>
        <v>0.6861781622100005</v>
      </c>
      <c r="EG9">
        <f>+data!JH4</f>
        <v>0.18604849954999997</v>
      </c>
      <c r="EH9">
        <f>+data!JI4</f>
        <v>0.36435599566000015</v>
      </c>
      <c r="EI9">
        <f>+data!JJ4</f>
        <v>0.13576584796999996</v>
      </c>
      <c r="EJ9">
        <f>+data!CV4</f>
        <v>2.0299485570000001E-2</v>
      </c>
      <c r="EK9">
        <f>+data!JK4</f>
        <v>2.0299485570000001E-2</v>
      </c>
      <c r="EL9">
        <f>+data!W4</f>
        <v>29.858391986239955</v>
      </c>
      <c r="EM9">
        <f>+data!AM4</f>
        <v>11.669459036520008</v>
      </c>
      <c r="EN9">
        <f>+data!CW4</f>
        <v>11.575099158979997</v>
      </c>
      <c r="EO9">
        <f>+data!JL4</f>
        <v>11.575099158979997</v>
      </c>
      <c r="EP9">
        <f>+data!CX4</f>
        <v>9.4360256820000002E-2</v>
      </c>
      <c r="EQ9">
        <f>+data!JM4</f>
        <v>9.4360256820000002E-2</v>
      </c>
      <c r="ER9">
        <f>+data!AN4</f>
        <v>9.7470308427100232</v>
      </c>
      <c r="ES9">
        <f>+data!CY4</f>
        <v>8.7250079021300024</v>
      </c>
      <c r="ET9">
        <f>+data!JN4</f>
        <v>8.7250079021300024</v>
      </c>
      <c r="EU9">
        <f>+data!CZ4</f>
        <v>1.0220228916399996</v>
      </c>
      <c r="EV9">
        <f>+data!JO4</f>
        <v>0.86425912319999965</v>
      </c>
      <c r="EW9">
        <f>+data!JP4</f>
        <v>0.15776379107999997</v>
      </c>
      <c r="EX9">
        <f>+data!AO4</f>
        <v>0.48021796623999935</v>
      </c>
      <c r="EY9">
        <f>+data!DA4</f>
        <v>0.29485336784000005</v>
      </c>
      <c r="EZ9">
        <f>+data!JQ4</f>
        <v>0.29485336784000005</v>
      </c>
      <c r="FA9">
        <f>+data!DB4</f>
        <v>0.18536465303999997</v>
      </c>
      <c r="FB9">
        <f>+data!JR4</f>
        <v>0.18536465303999997</v>
      </c>
      <c r="FC9">
        <f>+data!AP4</f>
        <v>0</v>
      </c>
      <c r="FD9">
        <f>+data!DC4</f>
        <v>0</v>
      </c>
      <c r="FE9">
        <f>+data!JS4</f>
        <v>0</v>
      </c>
      <c r="FF9">
        <f>+data!DD4</f>
        <v>0</v>
      </c>
      <c r="FG9">
        <f>+data!JT4</f>
        <v>0</v>
      </c>
      <c r="FH9">
        <f>+data!DE4</f>
        <v>0</v>
      </c>
      <c r="FI9">
        <f>+data!JU4</f>
        <v>0</v>
      </c>
      <c r="FJ9">
        <f>+data!DF4</f>
        <v>0</v>
      </c>
      <c r="FK9">
        <f>+data!JV4</f>
        <v>0</v>
      </c>
      <c r="FL9">
        <f>+data!AQ4</f>
        <v>5.9756850963900101</v>
      </c>
      <c r="FM9">
        <f>+data!DG4</f>
        <v>2.5595029158999982</v>
      </c>
      <c r="FN9">
        <f>+data!JW4</f>
        <v>2.5595029158999982</v>
      </c>
      <c r="FO9">
        <f>+data!DH4</f>
        <v>1.4757931422500021</v>
      </c>
      <c r="FP9">
        <f>+data!JX4</f>
        <v>0</v>
      </c>
      <c r="FQ9">
        <f>+data!JY4</f>
        <v>0</v>
      </c>
      <c r="FR9">
        <f>+data!DI4</f>
        <v>1.1232801086399991</v>
      </c>
      <c r="FS9">
        <f>+data!JZ4</f>
        <v>1.1232801086399991</v>
      </c>
      <c r="FT9">
        <f>+data!DJ4</f>
        <v>0.11911479533999993</v>
      </c>
      <c r="FU9">
        <f>+data!KA4</f>
        <v>0.11911479533999993</v>
      </c>
      <c r="FV9">
        <f>+data!DK4</f>
        <v>0.69798661617999924</v>
      </c>
      <c r="FW9">
        <f>+data!KB4</f>
        <v>0.69798661617999924</v>
      </c>
      <c r="FX9">
        <f>+data!X4</f>
        <v>3.3046776340000052</v>
      </c>
      <c r="FY9">
        <f>+data!AR4</f>
        <v>1.0378527350799995</v>
      </c>
      <c r="FZ9">
        <f>+data!DL4</f>
        <v>0.89294143879999954</v>
      </c>
      <c r="GA9">
        <f>+data!KC4</f>
        <v>0.89294143879999954</v>
      </c>
      <c r="GB9">
        <f>+data!DM4</f>
        <v>0.12523199859999989</v>
      </c>
      <c r="GC9">
        <f>+data!KD4</f>
        <v>0.12523199859999989</v>
      </c>
      <c r="GD9">
        <f>+data!DN4</f>
        <v>1.9679866089999998E-2</v>
      </c>
      <c r="GE9">
        <f>+data!KE4</f>
        <v>1.9679866089999998E-2</v>
      </c>
      <c r="GF9">
        <f>+data!AS4</f>
        <v>0.28106522150999991</v>
      </c>
      <c r="GG9">
        <f>+data!DO4</f>
        <v>0.28106522150999991</v>
      </c>
      <c r="GH9">
        <f>+data!KF4</f>
        <v>0.28106522150999991</v>
      </c>
      <c r="GI9">
        <f>+data!AT4</f>
        <v>0.68160063313000019</v>
      </c>
      <c r="GJ9">
        <f>+data!DP4</f>
        <v>0.4763012222100001</v>
      </c>
      <c r="GK9">
        <f>+data!KG4</f>
        <v>0.12787730484999996</v>
      </c>
      <c r="GL9">
        <f>+data!KH4</f>
        <v>0.16132724999000003</v>
      </c>
      <c r="GM9">
        <f>+data!KI4</f>
        <v>0</v>
      </c>
      <c r="GN9">
        <f>+data!KJ4</f>
        <v>0</v>
      </c>
      <c r="GO9">
        <f>+data!KK4</f>
        <v>0</v>
      </c>
      <c r="GP9">
        <f>+data!KL4</f>
        <v>0</v>
      </c>
      <c r="GQ9">
        <f>+data!KM4</f>
        <v>0.17223070267000004</v>
      </c>
      <c r="GR9">
        <f>+data!DQ4</f>
        <v>0.16616507186000004</v>
      </c>
      <c r="GS9">
        <f>+data!KN4</f>
        <v>0.16616507186000004</v>
      </c>
      <c r="GT9">
        <f>+data!DR4</f>
        <v>3.9132844909999978E-2</v>
      </c>
      <c r="GU9">
        <f>+data!KO4</f>
        <v>3.9132844909999978E-2</v>
      </c>
      <c r="GV9">
        <f>+data!AU4</f>
        <v>0.2747672728499998</v>
      </c>
      <c r="GW9">
        <f>+data!DS4</f>
        <v>9.576424410000001E-3</v>
      </c>
      <c r="GX9">
        <f>+data!KP4</f>
        <v>0</v>
      </c>
      <c r="GY9">
        <f>+data!KQ4</f>
        <v>0</v>
      </c>
      <c r="GZ9">
        <f>+data!KR4</f>
        <v>0</v>
      </c>
      <c r="HA9">
        <f>+data!KS4</f>
        <v>9.576424410000001E-3</v>
      </c>
      <c r="HB9">
        <f>+data!AV4</f>
        <v>0.4148838143400011</v>
      </c>
      <c r="HC9">
        <f>+data!DT4</f>
        <v>0</v>
      </c>
      <c r="HD9">
        <f>+data!KT4</f>
        <v>0</v>
      </c>
      <c r="HE9">
        <f>+data!DU4</f>
        <v>0</v>
      </c>
      <c r="HF9">
        <f>+data!KU4</f>
        <v>0</v>
      </c>
      <c r="HG9">
        <f>+data!AW4</f>
        <v>0.51423032318999984</v>
      </c>
      <c r="HH9">
        <f>+data!DV4</f>
        <v>0.35802161834000029</v>
      </c>
      <c r="HI9">
        <f>+data!KV4</f>
        <v>0</v>
      </c>
      <c r="HJ9">
        <f>+data!KW4</f>
        <v>0</v>
      </c>
      <c r="HK9">
        <f>+data!DW4</f>
        <v>0.15620944906000003</v>
      </c>
      <c r="HL9">
        <f>+data!KX4</f>
        <v>0</v>
      </c>
      <c r="HM9">
        <f>+data!KY4</f>
        <v>0</v>
      </c>
      <c r="HN9">
        <f>+data!Y4</f>
        <v>2.4183394310400077</v>
      </c>
      <c r="HO9">
        <f>+data!AX4</f>
        <v>1.5644544823499995</v>
      </c>
      <c r="HP9">
        <f>+data!DX4</f>
        <v>0.71029714487000295</v>
      </c>
      <c r="HQ9">
        <f>+data!KZ4</f>
        <v>0.71029714487000295</v>
      </c>
      <c r="HR9">
        <f>+data!DY4</f>
        <v>0.2369889576499998</v>
      </c>
      <c r="HS9">
        <f>+data!LA4</f>
        <v>0.2369889576499998</v>
      </c>
      <c r="HT9">
        <f>+data!DZ4</f>
        <v>0.61717291106999994</v>
      </c>
      <c r="HU9">
        <f>+data!LB4</f>
        <v>0.61717291106999994</v>
      </c>
      <c r="HV9">
        <f>+data!AY4</f>
        <v>0.75845962777999787</v>
      </c>
      <c r="HW9">
        <f>+data!EA4</f>
        <v>0.31230703356000045</v>
      </c>
      <c r="HX9">
        <f>+data!LC4</f>
        <v>0.31230703356000045</v>
      </c>
      <c r="HY9">
        <f>+data!EB4</f>
        <v>0.3446831950099995</v>
      </c>
      <c r="HZ9">
        <f>+data!LD4</f>
        <v>0.3446831950099995</v>
      </c>
      <c r="IA9">
        <f>+data!EC4</f>
        <v>0.10145544929000001</v>
      </c>
      <c r="IB9">
        <f>+data!LE4</f>
        <v>0</v>
      </c>
      <c r="IC9">
        <f>+data!LF4</f>
        <v>0</v>
      </c>
      <c r="ID9">
        <f>+data!LG4</f>
        <v>0.10145544929000001</v>
      </c>
      <c r="IE9">
        <f>+data!AZ4</f>
        <v>9.2689311349999998E-2</v>
      </c>
      <c r="IF9">
        <f>+data!Z4</f>
        <v>9.3443009475500052</v>
      </c>
      <c r="IG9">
        <f>+data!BA4</f>
        <v>1.7946328372699978</v>
      </c>
      <c r="IH9">
        <f>+data!ED4</f>
        <v>1.3782946592699996</v>
      </c>
      <c r="II9">
        <f>+data!LH4</f>
        <v>0.5176791137700002</v>
      </c>
      <c r="IJ9">
        <f>+data!LI4</f>
        <v>0.86061554549999997</v>
      </c>
      <c r="IK9">
        <f>+data!EE4</f>
        <v>9.6158097359999972E-2</v>
      </c>
      <c r="IL9">
        <f>+data!LJ4</f>
        <v>9.6158097359999972E-2</v>
      </c>
      <c r="IM9">
        <f>+data!EF4</f>
        <v>0.10393097839000001</v>
      </c>
      <c r="IN9">
        <f>+data!LK4</f>
        <v>0.10393097839000001</v>
      </c>
      <c r="IO9">
        <f>+data!EG4</f>
        <v>0</v>
      </c>
      <c r="IP9">
        <f>+data!LL4</f>
        <v>0</v>
      </c>
      <c r="IQ9">
        <f>+data!BB4</f>
        <v>7.0216833609000124</v>
      </c>
      <c r="IR9">
        <f>+data!EH4</f>
        <v>0.51840114843999996</v>
      </c>
      <c r="IS9">
        <f>+data!LM4</f>
        <v>0.51840114843999996</v>
      </c>
      <c r="IT9">
        <f>+data!EI4</f>
        <v>3.4369632396000043</v>
      </c>
      <c r="IU9">
        <f>+data!LN4</f>
        <v>3.4369632396000043</v>
      </c>
      <c r="IV9">
        <f>+data!EJ4</f>
        <v>1.1471261924999985</v>
      </c>
      <c r="IW9">
        <f>+data!LO4</f>
        <v>1.1471261924999985</v>
      </c>
      <c r="IX9">
        <f>+data!EK4</f>
        <v>1.9191969952399972</v>
      </c>
      <c r="IY9">
        <f>+data!LP4</f>
        <v>1.9191969952399972</v>
      </c>
      <c r="IZ9">
        <f>+data!BC4</f>
        <v>1.0570239796600016</v>
      </c>
      <c r="JA9">
        <f>+data!EL4</f>
        <v>0</v>
      </c>
      <c r="JB9">
        <f>+data!LQ4</f>
        <v>0</v>
      </c>
      <c r="JC9">
        <f>+data!EM4</f>
        <v>0</v>
      </c>
      <c r="JD9">
        <f>+data!LR4</f>
        <v>0</v>
      </c>
      <c r="JE9">
        <f>+data!EN4</f>
        <v>0.18612611214000008</v>
      </c>
      <c r="JF9">
        <f>+data!LS4</f>
        <v>0.18612611214000008</v>
      </c>
      <c r="JG9">
        <f>+data!EO4</f>
        <v>0</v>
      </c>
      <c r="JH9">
        <f>+data!LT4</f>
        <v>0</v>
      </c>
      <c r="JI9">
        <f>+data!EP4</f>
        <v>0</v>
      </c>
      <c r="JJ9">
        <f>+data!LU4</f>
        <v>0</v>
      </c>
      <c r="JK9">
        <f>+data!EQ4</f>
        <v>0</v>
      </c>
      <c r="JL9">
        <f>+data!LV4</f>
        <v>0</v>
      </c>
      <c r="JM9">
        <f>+data!AA4</f>
        <v>2.7109359476500052</v>
      </c>
      <c r="JN9">
        <f>+data!BD4</f>
        <v>0.21831941692000018</v>
      </c>
      <c r="JO9">
        <f>+data!ER4</f>
        <v>0.21831941692000018</v>
      </c>
      <c r="JP9">
        <f>+data!LW4</f>
        <v>0</v>
      </c>
      <c r="JQ9">
        <f>+data!BE4</f>
        <v>0.13906402198999993</v>
      </c>
      <c r="JR9">
        <f>+data!ES4</f>
        <v>0.13906402198999993</v>
      </c>
      <c r="JS9">
        <f>+data!LX4</f>
        <v>0.13906402198999993</v>
      </c>
      <c r="JT9">
        <f>+data!BF4</f>
        <v>2.3535586345899953</v>
      </c>
      <c r="JU9">
        <f>+data!ET4</f>
        <v>2.3535586345899953</v>
      </c>
      <c r="JV9">
        <f>+data!LY4</f>
        <v>2.3535586345899953</v>
      </c>
      <c r="JW9">
        <f>+data!AB4</f>
        <v>7.3231032524000179</v>
      </c>
      <c r="JX9">
        <f>+data!BG4</f>
        <v>0.98902403900999925</v>
      </c>
      <c r="JY9">
        <f>+data!EU4</f>
        <v>0.3602321902199998</v>
      </c>
      <c r="JZ9">
        <f>+data!LZ4</f>
        <v>6.9140313880000012E-2</v>
      </c>
      <c r="KA9">
        <f>+data!MA4</f>
        <v>0.29109173604000005</v>
      </c>
      <c r="KB9">
        <f>+data!EV4</f>
        <v>8.1347003530000017E-2</v>
      </c>
      <c r="KC9">
        <f>+data!MB4</f>
        <v>8.1347003530000017E-2</v>
      </c>
      <c r="KD9">
        <f>+data!MC4</f>
        <v>0</v>
      </c>
      <c r="KE9">
        <f>+data!EW4</f>
        <v>0.31256946058000012</v>
      </c>
      <c r="KF9">
        <f>+data!MD4</f>
        <v>0.31256946058000012</v>
      </c>
      <c r="KG9">
        <f>+data!EX4</f>
        <v>0.20922593537999987</v>
      </c>
      <c r="KH9">
        <f>+data!ME4</f>
        <v>0.20922593537999987</v>
      </c>
      <c r="KI9">
        <f>+data!EY4</f>
        <v>2.5648659249999997E-2</v>
      </c>
      <c r="KJ9">
        <f>+data!MF4</f>
        <v>2.5648659249999997E-2</v>
      </c>
      <c r="KK9">
        <f>+data!BH4</f>
        <v>0.12366975281000003</v>
      </c>
      <c r="KL9">
        <f>+data!EZ4</f>
        <v>0.10184949925</v>
      </c>
      <c r="KM9">
        <f>+data!MG4</f>
        <v>0.10184949925</v>
      </c>
      <c r="KN9">
        <f>+data!FA4</f>
        <v>0</v>
      </c>
      <c r="KO9">
        <f>+data!MH4</f>
        <v>0</v>
      </c>
      <c r="KP9">
        <f>+data!MI4</f>
        <v>0</v>
      </c>
      <c r="KQ9">
        <f>+data!FB4</f>
        <v>2.1820120770000003E-2</v>
      </c>
      <c r="KR9">
        <f>+data!MJ4</f>
        <v>2.1820120770000003E-2</v>
      </c>
      <c r="KS9">
        <f>+data!BI4</f>
        <v>1.4879940221299965</v>
      </c>
      <c r="KT9">
        <f>+data!FC4</f>
        <v>0.30106929659000042</v>
      </c>
      <c r="KU9">
        <f>+data!MK4</f>
        <v>0.30106929659000042</v>
      </c>
      <c r="KV9">
        <f>+data!FD4</f>
        <v>0.15415821808999988</v>
      </c>
      <c r="KW9">
        <f>+data!ML4</f>
        <v>0.15415821808999988</v>
      </c>
      <c r="KX9">
        <f>+data!FE4</f>
        <v>0.57876427367000038</v>
      </c>
      <c r="KY9">
        <f>+data!MM4</f>
        <v>0.57876427367000038</v>
      </c>
      <c r="KZ9">
        <f>+data!FF4</f>
        <v>0.45400726233000005</v>
      </c>
      <c r="LA9">
        <f>+data!MN4</f>
        <v>0.45400726233000005</v>
      </c>
      <c r="LB9">
        <f>+data!FG4</f>
        <v>0</v>
      </c>
      <c r="LC9">
        <f>+data!MO4</f>
        <v>0</v>
      </c>
      <c r="LD9">
        <f>+data!BJ4</f>
        <v>1.9135622875200002</v>
      </c>
      <c r="LE9">
        <f>+data!FH4</f>
        <v>0.53393053906000065</v>
      </c>
      <c r="LF9">
        <f>+data!MP4</f>
        <v>0.53393053906000065</v>
      </c>
      <c r="LG9">
        <f>+data!FI4</f>
        <v>0.97158281292999871</v>
      </c>
      <c r="LH9">
        <f>+data!MQ4</f>
        <v>0</v>
      </c>
      <c r="LI9">
        <f>+data!MR4</f>
        <v>0</v>
      </c>
      <c r="LJ9">
        <f>+data!MS4</f>
        <v>0.77801518249999857</v>
      </c>
      <c r="LK9">
        <f>+data!MT4</f>
        <v>0.1935807526800003</v>
      </c>
      <c r="LL9">
        <f>+data!FJ4</f>
        <v>0</v>
      </c>
      <c r="LM9">
        <f>+data!MU4</f>
        <v>0</v>
      </c>
      <c r="LN9">
        <f>+data!BK4</f>
        <v>1.456179406139998</v>
      </c>
      <c r="LO9">
        <f>+data!FK4</f>
        <v>0.35696650766999977</v>
      </c>
      <c r="LP9">
        <f>+data!MV4</f>
        <v>0.35696650766999977</v>
      </c>
      <c r="LQ9">
        <f>+data!FL4</f>
        <v>0.63660581462000121</v>
      </c>
      <c r="LR9">
        <f>+data!MW4</f>
        <v>0.63660581462000121</v>
      </c>
      <c r="LS9">
        <f>+data!FM4</f>
        <v>0.4626109167400006</v>
      </c>
      <c r="LT9">
        <f>+data!MX4</f>
        <v>0.4626109167400006</v>
      </c>
      <c r="LU9">
        <f>+data!FN4</f>
        <v>0</v>
      </c>
      <c r="LV9">
        <f>+data!MY4</f>
        <v>0</v>
      </c>
      <c r="LW9">
        <f>+data!BL4</f>
        <v>1.3526795668200007</v>
      </c>
      <c r="LX9">
        <f>+data!AC4</f>
        <v>0.66259681886999877</v>
      </c>
      <c r="LY9">
        <f>+data!BM4</f>
        <v>0</v>
      </c>
      <c r="LZ9">
        <f>+data!FO4</f>
        <v>0</v>
      </c>
      <c r="MA9">
        <f>+data!MZ4</f>
        <v>0</v>
      </c>
      <c r="MB9">
        <f>+data!BN4</f>
        <v>0</v>
      </c>
      <c r="MC9">
        <f>+data!FP4</f>
        <v>0</v>
      </c>
      <c r="MD9">
        <f>+data!NA4</f>
        <v>0</v>
      </c>
      <c r="ME9">
        <f>+data!BO4</f>
        <v>0</v>
      </c>
      <c r="MF9">
        <f>+data!FQ4</f>
        <v>0</v>
      </c>
      <c r="MG9">
        <f>+data!NB4</f>
        <v>0</v>
      </c>
      <c r="MH9">
        <f>+data!BP4</f>
        <v>0</v>
      </c>
      <c r="MI9">
        <f>+data!FR4</f>
        <v>0</v>
      </c>
      <c r="MJ9">
        <f>+data!NC4</f>
        <v>0</v>
      </c>
      <c r="MK9">
        <f>+data!BQ4</f>
        <v>0.12779815564000008</v>
      </c>
      <c r="ML9">
        <f>+data!FS4</f>
        <v>0.12779815564000008</v>
      </c>
      <c r="MM9">
        <f>+data!ND4</f>
        <v>0.12779815564000008</v>
      </c>
      <c r="MN9">
        <f>+data!AD4</f>
        <v>3.0239062518699957</v>
      </c>
      <c r="MO9">
        <f>+data!BR4</f>
        <v>2.4912165387899985</v>
      </c>
      <c r="MP9">
        <f>+data!FT4</f>
        <v>2.2085631244200026</v>
      </c>
      <c r="MQ9">
        <f>+data!NE4</f>
        <v>0</v>
      </c>
      <c r="MR9">
        <f>+data!NF4</f>
        <v>0</v>
      </c>
      <c r="MS9">
        <f>+data!FV4</f>
        <v>0.28265328613999979</v>
      </c>
      <c r="MT9">
        <f>+data!NG4</f>
        <v>0.28265328613999979</v>
      </c>
      <c r="MU9">
        <f>+data!BT4</f>
        <v>0.53268741946999987</v>
      </c>
      <c r="MV9">
        <f>+data!GB4</f>
        <v>0.53268741946999987</v>
      </c>
      <c r="MW9">
        <f>+data!NH4</f>
        <v>0.53268741946999987</v>
      </c>
      <c r="MX9">
        <f>+data!AF4</f>
        <v>6.4943687872800107</v>
      </c>
      <c r="MY9">
        <f>+data!CC4</f>
        <v>2.0372391098000011</v>
      </c>
      <c r="MZ9">
        <f>+data!IA4</f>
        <v>0.87878270845999873</v>
      </c>
      <c r="NA9">
        <f>+data!NI4</f>
        <v>0.87878270845999873</v>
      </c>
      <c r="NB9">
        <f>+data!IC4</f>
        <v>3.108657099000002E-2</v>
      </c>
      <c r="NC9">
        <f>+data!NJ4</f>
        <v>3.108657099000002E-2</v>
      </c>
      <c r="ND9">
        <f>+data!IE4</f>
        <v>1.1273636186699985</v>
      </c>
      <c r="NE9">
        <f>+data!NK4</f>
        <v>1.1273636186699985</v>
      </c>
      <c r="NF9">
        <f>+data!CE4</f>
        <v>0</v>
      </c>
      <c r="NG9">
        <f>+data!IG4</f>
        <v>0</v>
      </c>
      <c r="NH9">
        <f>+data!NL4</f>
        <v>0</v>
      </c>
      <c r="NI9">
        <f>+data!CG4</f>
        <v>0.29150829304000014</v>
      </c>
      <c r="NJ9">
        <f>+data!IL4</f>
        <v>0.15979272508999995</v>
      </c>
      <c r="NK9">
        <f>+data!NM4</f>
        <v>0.15979272508999995</v>
      </c>
      <c r="NL9">
        <f>+data!IM4</f>
        <v>0.13171701677999995</v>
      </c>
      <c r="NM9">
        <f>+data!NN4</f>
        <v>0</v>
      </c>
      <c r="NN9">
        <f>+data!NO4</f>
        <v>0</v>
      </c>
      <c r="NO9">
        <f>+data!CH4</f>
        <v>0.16325921791999992</v>
      </c>
      <c r="NP9">
        <f>+data!IN4</f>
        <v>0.16325921791999992</v>
      </c>
      <c r="NQ9">
        <f>+data!NP4</f>
        <v>7.6999481570000014E-2</v>
      </c>
      <c r="NR9">
        <f>+data!NQ4</f>
        <v>8.6259736349999935E-2</v>
      </c>
      <c r="NS9">
        <f>+data!CI4</f>
        <v>3.5245866601300073</v>
      </c>
      <c r="NT9">
        <f>+data!IO4</f>
        <v>0</v>
      </c>
      <c r="NU9">
        <f>+data!NR4</f>
        <v>0</v>
      </c>
      <c r="NV9">
        <f>+data!IP4</f>
        <v>1.1636498543499991</v>
      </c>
      <c r="NW9">
        <f>+data!NS4</f>
        <v>1.1636498543499991</v>
      </c>
      <c r="NX9">
        <f>+data!IQ4</f>
        <v>1.2911793220800007</v>
      </c>
      <c r="NY9">
        <f>+data!NT4</f>
        <v>1.2911793220800007</v>
      </c>
      <c r="NZ9">
        <f>+data!IR4</f>
        <v>1.0697552047499974</v>
      </c>
      <c r="OA9">
        <f>+data!NU4</f>
        <v>1.0697552047499974</v>
      </c>
      <c r="OB9">
        <f>+data!CJ4</f>
        <v>0.14668713611999987</v>
      </c>
      <c r="OC9">
        <f>+data!IS4</f>
        <v>0.14668713611999987</v>
      </c>
      <c r="OD9">
        <f>+data!NV4</f>
        <v>0.14668713611999987</v>
      </c>
      <c r="OE9">
        <f>+data!CK4</f>
        <v>0.2797073568399997</v>
      </c>
      <c r="OF9">
        <f>+data!IT4</f>
        <v>0.2797073568399997</v>
      </c>
      <c r="OG9">
        <f>+data!NW4</f>
        <v>0.15761888491999979</v>
      </c>
    </row>
    <row r="10" spans="7:397">
      <c r="J10" s="4">
        <f t="shared" si="340"/>
        <v>8.0657191711142093E-2</v>
      </c>
      <c r="K10" t="s">
        <v>390</v>
      </c>
      <c r="AC10">
        <f>+data!S5</f>
        <v>91.006483929940103</v>
      </c>
      <c r="AD10">
        <f>+data!T5</f>
        <v>12.476241759409989</v>
      </c>
      <c r="AE10">
        <f>+data!AE5</f>
        <v>11.219449994009997</v>
      </c>
      <c r="AF10">
        <f>+data!BS5</f>
        <v>0</v>
      </c>
      <c r="AG10">
        <f>+data!FU5</f>
        <v>0</v>
      </c>
      <c r="AH10">
        <f>+data!FW5</f>
        <v>0</v>
      </c>
      <c r="AI10">
        <f>+data!FX5</f>
        <v>0</v>
      </c>
      <c r="AJ10">
        <f>+data!FY5</f>
        <v>0</v>
      </c>
      <c r="AK10">
        <f>+data!FZ5</f>
        <v>0</v>
      </c>
      <c r="AL10">
        <f>+data!GA5</f>
        <v>0</v>
      </c>
      <c r="AM10">
        <f>+data!BU5</f>
        <v>0</v>
      </c>
      <c r="AN10">
        <f>+data!GC5</f>
        <v>0</v>
      </c>
      <c r="AO10">
        <f>+data!GD5</f>
        <v>0</v>
      </c>
      <c r="AP10">
        <f>+data!GE5</f>
        <v>0</v>
      </c>
      <c r="AQ10">
        <f>+data!GF5</f>
        <v>0</v>
      </c>
      <c r="AR10">
        <f>+data!GG5</f>
        <v>0</v>
      </c>
      <c r="AS10">
        <f>+data!GH5</f>
        <v>0</v>
      </c>
      <c r="AT10">
        <f>+data!GI5</f>
        <v>0</v>
      </c>
      <c r="AU10">
        <f>+data!BV5</f>
        <v>0</v>
      </c>
      <c r="AV10">
        <f>+data!GJ5</f>
        <v>0</v>
      </c>
      <c r="AW10">
        <f>+data!GK5</f>
        <v>0</v>
      </c>
      <c r="AX10">
        <f>+data!GL5</f>
        <v>0</v>
      </c>
      <c r="AY10">
        <f>+data!GM5</f>
        <v>0</v>
      </c>
      <c r="AZ10">
        <f>+data!BW5</f>
        <v>0</v>
      </c>
      <c r="BA10">
        <f>+data!GN5</f>
        <v>0</v>
      </c>
      <c r="BB10">
        <f>+data!GO5</f>
        <v>0</v>
      </c>
      <c r="BC10">
        <f>+data!GP5</f>
        <v>0</v>
      </c>
      <c r="BD10">
        <f>+data!GQ5</f>
        <v>0</v>
      </c>
      <c r="BE10">
        <f>+data!GR5</f>
        <v>0</v>
      </c>
      <c r="BF10">
        <f>+data!GS5</f>
        <v>0</v>
      </c>
      <c r="BG10">
        <f>+data!GT5</f>
        <v>0</v>
      </c>
      <c r="BH10">
        <f>+data!BX5</f>
        <v>0</v>
      </c>
      <c r="BI10">
        <f>+data!GU5</f>
        <v>0</v>
      </c>
      <c r="BJ10">
        <f>+data!GV5</f>
        <v>0</v>
      </c>
      <c r="BK10">
        <f>+data!GW5</f>
        <v>0</v>
      </c>
      <c r="BL10">
        <f>+data!GX5</f>
        <v>0</v>
      </c>
      <c r="BM10">
        <f>+data!GY5</f>
        <v>0</v>
      </c>
      <c r="BN10">
        <f>+data!BY5</f>
        <v>0</v>
      </c>
      <c r="BO10">
        <f>+data!GZ5</f>
        <v>0</v>
      </c>
      <c r="BP10">
        <f>+data!HA5</f>
        <v>0</v>
      </c>
      <c r="BQ10">
        <f>+data!HB5</f>
        <v>0</v>
      </c>
      <c r="BR10">
        <f>+data!HC5</f>
        <v>0</v>
      </c>
      <c r="BS10">
        <f>+data!HD5</f>
        <v>0</v>
      </c>
      <c r="BT10">
        <f>+data!HE5</f>
        <v>0</v>
      </c>
      <c r="BU10">
        <f>+data!HF5</f>
        <v>0</v>
      </c>
      <c r="BV10">
        <f>+data!HG5</f>
        <v>0</v>
      </c>
      <c r="BW10">
        <f>+data!HH5</f>
        <v>0</v>
      </c>
      <c r="BX10">
        <f>+data!BZ5</f>
        <v>0</v>
      </c>
      <c r="BY10">
        <f>+data!HI5</f>
        <v>0</v>
      </c>
      <c r="BZ10">
        <f>+data!HJ5</f>
        <v>0</v>
      </c>
      <c r="CA10">
        <f>+data!HK5</f>
        <v>0</v>
      </c>
      <c r="CB10">
        <f>+data!HL5</f>
        <v>0</v>
      </c>
      <c r="CC10">
        <f>+data!HM5</f>
        <v>0</v>
      </c>
      <c r="CD10">
        <f>+data!HN5</f>
        <v>0</v>
      </c>
      <c r="CE10">
        <f>+data!HO5</f>
        <v>0</v>
      </c>
      <c r="CF10">
        <f>+data!HP5</f>
        <v>0</v>
      </c>
      <c r="CG10">
        <f>+data!CA5</f>
        <v>0</v>
      </c>
      <c r="CH10">
        <f>+data!HQ5</f>
        <v>0</v>
      </c>
      <c r="CI10">
        <f>+data!HR5</f>
        <v>0</v>
      </c>
      <c r="CJ10">
        <f>+data!HS5</f>
        <v>0</v>
      </c>
      <c r="CK10">
        <f>+data!HT5</f>
        <v>0</v>
      </c>
      <c r="CL10">
        <f>+data!HU5</f>
        <v>0</v>
      </c>
      <c r="CM10">
        <f>+data!HV5</f>
        <v>0</v>
      </c>
      <c r="CN10">
        <f>+data!CB5</f>
        <v>0</v>
      </c>
      <c r="CO10">
        <f>+data!HW5</f>
        <v>0</v>
      </c>
      <c r="CP10">
        <f>+data!HX5</f>
        <v>0</v>
      </c>
      <c r="CQ10">
        <f>+data!HY5</f>
        <v>0</v>
      </c>
      <c r="CR10">
        <f>+data!HZ5</f>
        <v>0</v>
      </c>
      <c r="CS10">
        <f>+data!AG5</f>
        <v>1.2567892210000002</v>
      </c>
      <c r="CT10">
        <f>+data!CD5</f>
        <v>0</v>
      </c>
      <c r="CU10">
        <f>+data!IB5</f>
        <v>0</v>
      </c>
      <c r="CV10">
        <f>+data!ID5</f>
        <v>0</v>
      </c>
      <c r="CW10">
        <f>+data!IF5</f>
        <v>0</v>
      </c>
      <c r="CX10">
        <f>+data!CF5</f>
        <v>0</v>
      </c>
      <c r="CY10">
        <f>+data!IH5</f>
        <v>0</v>
      </c>
      <c r="CZ10">
        <f>+data!II5</f>
        <v>0</v>
      </c>
      <c r="DA10">
        <f>+data!IJ5</f>
        <v>0</v>
      </c>
      <c r="DB10">
        <f>+data!IK5</f>
        <v>0</v>
      </c>
      <c r="DC10">
        <f>+data!U5</f>
        <v>1.6387950821000012</v>
      </c>
      <c r="DD10">
        <f>+data!AH5</f>
        <v>0.84842801365999809</v>
      </c>
      <c r="DE10">
        <f>+data!CL5</f>
        <v>0</v>
      </c>
      <c r="DF10">
        <f>+data!IU5</f>
        <v>0</v>
      </c>
      <c r="DG10">
        <f>+data!CM5</f>
        <v>0</v>
      </c>
      <c r="DH10">
        <f>+data!IV5</f>
        <v>0</v>
      </c>
      <c r="DI10">
        <f>+data!IW5</f>
        <v>0</v>
      </c>
      <c r="DJ10">
        <f>+data!CN5</f>
        <v>0</v>
      </c>
      <c r="DK10">
        <f>+data!IX5</f>
        <v>0</v>
      </c>
      <c r="DL10">
        <f>+data!AI5</f>
        <v>0.7903690748799993</v>
      </c>
      <c r="DM10">
        <f>+data!CO5</f>
        <v>0</v>
      </c>
      <c r="DN10">
        <f>+data!IY5</f>
        <v>0</v>
      </c>
      <c r="DO10">
        <f>+data!IZ5</f>
        <v>0</v>
      </c>
      <c r="DP10">
        <f>+data!JA5</f>
        <v>0</v>
      </c>
      <c r="DQ10">
        <f>+data!AJ5</f>
        <v>0</v>
      </c>
      <c r="DR10">
        <f>+data!CP5</f>
        <v>0</v>
      </c>
      <c r="DS10">
        <f>+data!V5</f>
        <v>3.9522357594199975</v>
      </c>
      <c r="DT10">
        <f>+data!AK5</f>
        <v>3.0847954428600048</v>
      </c>
      <c r="DU10">
        <f>+data!CQ5</f>
        <v>7.5706104109999908E-2</v>
      </c>
      <c r="DV10">
        <f>+data!JB5</f>
        <v>7.5706104109999908E-2</v>
      </c>
      <c r="DW10">
        <f>+data!CR5</f>
        <v>2.8259034844800017</v>
      </c>
      <c r="DX10">
        <f>+data!JC5</f>
        <v>0.74644105665999994</v>
      </c>
      <c r="DY10">
        <f>+data!JD5</f>
        <v>1.6020213875699978</v>
      </c>
      <c r="DZ10">
        <f>+data!JE5</f>
        <v>0.35667389720000064</v>
      </c>
      <c r="EA10">
        <f>+data!CS5</f>
        <v>9.9081199730000138E-2</v>
      </c>
      <c r="EB10">
        <f>+data!JF5</f>
        <v>9.9081199730000138E-2</v>
      </c>
      <c r="EC10">
        <f>+data!CT5</f>
        <v>8.4107707680000005E-2</v>
      </c>
      <c r="ED10">
        <f>+data!JG5</f>
        <v>8.4107707680000005E-2</v>
      </c>
      <c r="EE10">
        <f>+data!AL5</f>
        <v>0.86743194097999921</v>
      </c>
      <c r="EF10">
        <f>+data!CU5</f>
        <v>0.82483966799999919</v>
      </c>
      <c r="EG10">
        <f>+data!JH5</f>
        <v>0.24224175894000013</v>
      </c>
      <c r="EH10">
        <f>+data!JI5</f>
        <v>0.43662871310999934</v>
      </c>
      <c r="EI10">
        <f>+data!JJ5</f>
        <v>0.14596221036999987</v>
      </c>
      <c r="EJ10">
        <f>+data!CV5</f>
        <v>2.5244283509999993E-2</v>
      </c>
      <c r="EK10">
        <f>+data!JK5</f>
        <v>2.5244283509999993E-2</v>
      </c>
      <c r="EL10">
        <f>+data!W5</f>
        <v>30.695963744879897</v>
      </c>
      <c r="EM10">
        <f>+data!AM5</f>
        <v>11.237218013480005</v>
      </c>
      <c r="EN10">
        <f>+data!CW5</f>
        <v>11.097781816260007</v>
      </c>
      <c r="EO10">
        <f>+data!JL5</f>
        <v>11.097781816260007</v>
      </c>
      <c r="EP10">
        <f>+data!CX5</f>
        <v>0.13943596893999993</v>
      </c>
      <c r="EQ10">
        <f>+data!JM5</f>
        <v>0.13943596893999993</v>
      </c>
      <c r="ER10">
        <f>+data!AN5</f>
        <v>10.592062067479986</v>
      </c>
      <c r="ES10">
        <f>+data!CY5</f>
        <v>9.6348066217400063</v>
      </c>
      <c r="ET10">
        <f>+data!JN5</f>
        <v>9.6348066217400063</v>
      </c>
      <c r="EU10">
        <f>+data!CZ5</f>
        <v>0.95725521636000022</v>
      </c>
      <c r="EV10">
        <f>+data!JO5</f>
        <v>0.74773317273999951</v>
      </c>
      <c r="EW10">
        <f>+data!JP5</f>
        <v>0.20952204362000001</v>
      </c>
      <c r="EX10">
        <f>+data!AO5</f>
        <v>0.69523444709000037</v>
      </c>
      <c r="EY10">
        <f>+data!DA5</f>
        <v>0.37734554691000005</v>
      </c>
      <c r="EZ10">
        <f>+data!JQ5</f>
        <v>0.37734554691000005</v>
      </c>
      <c r="FA10">
        <f>+data!DB5</f>
        <v>0.31788863093000014</v>
      </c>
      <c r="FB10">
        <f>+data!JR5</f>
        <v>0.31788863093000014</v>
      </c>
      <c r="FC10">
        <f>+data!AP5</f>
        <v>0</v>
      </c>
      <c r="FD10">
        <f>+data!DC5</f>
        <v>0</v>
      </c>
      <c r="FE10">
        <f>+data!JS5</f>
        <v>0</v>
      </c>
      <c r="FF10">
        <f>+data!DD5</f>
        <v>0</v>
      </c>
      <c r="FG10">
        <f>+data!JT5</f>
        <v>0</v>
      </c>
      <c r="FH10">
        <f>+data!DE5</f>
        <v>0</v>
      </c>
      <c r="FI10">
        <f>+data!JU5</f>
        <v>0</v>
      </c>
      <c r="FJ10">
        <f>+data!DF5</f>
        <v>0</v>
      </c>
      <c r="FK10">
        <f>+data!JV5</f>
        <v>0</v>
      </c>
      <c r="FL10">
        <f>+data!AQ5</f>
        <v>6.0451309689399935</v>
      </c>
      <c r="FM10">
        <f>+data!DG5</f>
        <v>2.4816506277999975</v>
      </c>
      <c r="FN10">
        <f>+data!JW5</f>
        <v>2.4816506277999975</v>
      </c>
      <c r="FO10">
        <f>+data!DH5</f>
        <v>1.5156040424500015</v>
      </c>
      <c r="FP10">
        <f>+data!JX5</f>
        <v>0</v>
      </c>
      <c r="FQ10">
        <f>+data!JY5</f>
        <v>0</v>
      </c>
      <c r="FR10">
        <f>+data!DI5</f>
        <v>1.2901699061000012</v>
      </c>
      <c r="FS10">
        <f>+data!JZ5</f>
        <v>1.2901699061000012</v>
      </c>
      <c r="FT10">
        <f>+data!DJ5</f>
        <v>0.11371143069000003</v>
      </c>
      <c r="FU10">
        <f>+data!KA5</f>
        <v>0.11371143069000003</v>
      </c>
      <c r="FV10">
        <f>+data!DK5</f>
        <v>0.64398458390999969</v>
      </c>
      <c r="FW10">
        <f>+data!KB5</f>
        <v>0.64398458390999969</v>
      </c>
      <c r="FX10">
        <f>+data!X5</f>
        <v>3.7904298965600089</v>
      </c>
      <c r="FY10">
        <f>+data!AR5</f>
        <v>1.2753268544300003</v>
      </c>
      <c r="FZ10">
        <f>+data!DL5</f>
        <v>1.0655140272800003</v>
      </c>
      <c r="GA10">
        <f>+data!KC5</f>
        <v>1.0655140272800003</v>
      </c>
      <c r="GB10">
        <f>+data!DM5</f>
        <v>0.16317444439999998</v>
      </c>
      <c r="GC10">
        <f>+data!KD5</f>
        <v>0.16317444439999998</v>
      </c>
      <c r="GD10">
        <f>+data!DN5</f>
        <v>4.6638491560000002E-2</v>
      </c>
      <c r="GE10">
        <f>+data!KE5</f>
        <v>4.6638491560000002E-2</v>
      </c>
      <c r="GF10">
        <f>+data!AS5</f>
        <v>0.34979698736999992</v>
      </c>
      <c r="GG10">
        <f>+data!DO5</f>
        <v>0.34979698736999992</v>
      </c>
      <c r="GH10">
        <f>+data!KF5</f>
        <v>0.34979698736999992</v>
      </c>
      <c r="GI10">
        <f>+data!AT5</f>
        <v>0.70170495165999824</v>
      </c>
      <c r="GJ10">
        <f>+data!DP5</f>
        <v>0.46102825824999966</v>
      </c>
      <c r="GK10">
        <f>+data!KG5</f>
        <v>0.12249989421000003</v>
      </c>
      <c r="GL10">
        <f>+data!KH5</f>
        <v>0.17737734911999994</v>
      </c>
      <c r="GM10">
        <f>+data!KI5</f>
        <v>0</v>
      </c>
      <c r="GN10">
        <f>+data!KJ5</f>
        <v>0</v>
      </c>
      <c r="GO10">
        <f>+data!KK5</f>
        <v>0</v>
      </c>
      <c r="GP10">
        <f>+data!KL5</f>
        <v>0</v>
      </c>
      <c r="GQ10">
        <f>+data!KM5</f>
        <v>0.15065399225000006</v>
      </c>
      <c r="GR10">
        <f>+data!DQ5</f>
        <v>0.19141927180000012</v>
      </c>
      <c r="GS10">
        <f>+data!KN5</f>
        <v>0.19141927180000012</v>
      </c>
      <c r="GT10">
        <f>+data!DR5</f>
        <v>4.9256627479999947E-2</v>
      </c>
      <c r="GU10">
        <f>+data!KO5</f>
        <v>4.9256627479999947E-2</v>
      </c>
      <c r="GV10">
        <f>+data!AU5</f>
        <v>0.27267201344999986</v>
      </c>
      <c r="GW10">
        <f>+data!DS5</f>
        <v>8.3925677800000004E-3</v>
      </c>
      <c r="GX10">
        <f>+data!KP5</f>
        <v>0</v>
      </c>
      <c r="GY10">
        <f>+data!KQ5</f>
        <v>0</v>
      </c>
      <c r="GZ10">
        <f>+data!KR5</f>
        <v>0</v>
      </c>
      <c r="HA10">
        <f>+data!KS5</f>
        <v>8.3925677800000004E-3</v>
      </c>
      <c r="HB10">
        <f>+data!AV5</f>
        <v>0.52903779623000047</v>
      </c>
      <c r="HC10">
        <f>+data!DT5</f>
        <v>0</v>
      </c>
      <c r="HD10">
        <f>+data!KT5</f>
        <v>0</v>
      </c>
      <c r="HE10">
        <f>+data!DU5</f>
        <v>0</v>
      </c>
      <c r="HF10">
        <f>+data!KU5</f>
        <v>0</v>
      </c>
      <c r="HG10">
        <f>+data!AW5</f>
        <v>0.55768792084000074</v>
      </c>
      <c r="HH10">
        <f>+data!DV5</f>
        <v>0.38523431034000061</v>
      </c>
      <c r="HI10">
        <f>+data!KV5</f>
        <v>0</v>
      </c>
      <c r="HJ10">
        <f>+data!KW5</f>
        <v>0</v>
      </c>
      <c r="HK10">
        <f>+data!DW5</f>
        <v>0.17245504983999971</v>
      </c>
      <c r="HL10">
        <f>+data!KX5</f>
        <v>0</v>
      </c>
      <c r="HM10">
        <f>+data!KY5</f>
        <v>0</v>
      </c>
      <c r="HN10">
        <f>+data!Y5</f>
        <v>2.8382614892499922</v>
      </c>
      <c r="HO10">
        <f>+data!AX5</f>
        <v>1.7799228871300008</v>
      </c>
      <c r="HP10">
        <f>+data!DX5</f>
        <v>0.83443983740000083</v>
      </c>
      <c r="HQ10">
        <f>+data!KZ5</f>
        <v>0.83443983740000083</v>
      </c>
      <c r="HR10">
        <f>+data!DY5</f>
        <v>0.25062134963000016</v>
      </c>
      <c r="HS10">
        <f>+data!LA5</f>
        <v>0.25062134963000016</v>
      </c>
      <c r="HT10">
        <f>+data!DZ5</f>
        <v>0.69486252775000013</v>
      </c>
      <c r="HU10">
        <f>+data!LB5</f>
        <v>0.69486252775000013</v>
      </c>
      <c r="HV10">
        <f>+data!AY5</f>
        <v>0.93935631492999827</v>
      </c>
      <c r="HW10">
        <f>+data!EA5</f>
        <v>0.41244995272999979</v>
      </c>
      <c r="HX10">
        <f>+data!LC5</f>
        <v>0.41244995272999979</v>
      </c>
      <c r="HY10">
        <f>+data!EB5</f>
        <v>0.37379205621999995</v>
      </c>
      <c r="HZ10">
        <f>+data!LD5</f>
        <v>0.37379205621999995</v>
      </c>
      <c r="IA10">
        <f>+data!EC5</f>
        <v>0.15309973199999988</v>
      </c>
      <c r="IB10">
        <f>+data!LE5</f>
        <v>0</v>
      </c>
      <c r="IC10">
        <f>+data!LF5</f>
        <v>0</v>
      </c>
      <c r="ID10">
        <f>+data!LG5</f>
        <v>0.15309973199999988</v>
      </c>
      <c r="IE10">
        <f>+data!AZ5</f>
        <v>0.11007894652999992</v>
      </c>
      <c r="IF10">
        <f>+data!Z5</f>
        <v>11.722143370110008</v>
      </c>
      <c r="IG10">
        <f>+data!BA5</f>
        <v>3.0984092120900013</v>
      </c>
      <c r="IH10">
        <f>+data!ED5</f>
        <v>2.5537212804800005</v>
      </c>
      <c r="II10">
        <f>+data!LH5</f>
        <v>1.0974891100299999</v>
      </c>
      <c r="IJ10">
        <f>+data!LI5</f>
        <v>1.4562321704499996</v>
      </c>
      <c r="IK10">
        <f>+data!EE5</f>
        <v>0.12758660934999999</v>
      </c>
      <c r="IL10">
        <f>+data!LJ5</f>
        <v>0.12758660934999999</v>
      </c>
      <c r="IM10">
        <f>+data!EF5</f>
        <v>0.16384832373</v>
      </c>
      <c r="IN10">
        <f>+data!LK5</f>
        <v>0.16384832373</v>
      </c>
      <c r="IO10">
        <f>+data!EG5</f>
        <v>7.7072049000000001E-4</v>
      </c>
      <c r="IP10">
        <f>+data!LL5</f>
        <v>7.7072049000000001E-4</v>
      </c>
      <c r="IQ10">
        <f>+data!BB5</f>
        <v>7.9395682439899824</v>
      </c>
      <c r="IR10">
        <f>+data!EH5</f>
        <v>0.61282063419000077</v>
      </c>
      <c r="IS10">
        <f>+data!LM5</f>
        <v>0.61282063419000077</v>
      </c>
      <c r="IT10">
        <f>+data!EI5</f>
        <v>3.956939378260008</v>
      </c>
      <c r="IU10">
        <f>+data!LN5</f>
        <v>3.956939378260008</v>
      </c>
      <c r="IV10">
        <f>+data!EJ5</f>
        <v>1.3054494693000041</v>
      </c>
      <c r="IW10">
        <f>+data!LO5</f>
        <v>1.3054494693000041</v>
      </c>
      <c r="IX10">
        <f>+data!EK5</f>
        <v>2.0643644789499995</v>
      </c>
      <c r="IY10">
        <f>+data!LP5</f>
        <v>2.0643644789499995</v>
      </c>
      <c r="IZ10">
        <f>+data!BC5</f>
        <v>1.2299419961300009</v>
      </c>
      <c r="JA10">
        <f>+data!EL5</f>
        <v>0</v>
      </c>
      <c r="JB10">
        <f>+data!LQ5</f>
        <v>0</v>
      </c>
      <c r="JC10">
        <f>+data!EM5</f>
        <v>0</v>
      </c>
      <c r="JD10">
        <f>+data!LR5</f>
        <v>0</v>
      </c>
      <c r="JE10">
        <f>+data!EN5</f>
        <v>0.2402030907400001</v>
      </c>
      <c r="JF10">
        <f>+data!LS5</f>
        <v>0.2402030907400001</v>
      </c>
      <c r="JG10">
        <f>+data!EO5</f>
        <v>0</v>
      </c>
      <c r="JH10">
        <f>+data!LT5</f>
        <v>0</v>
      </c>
      <c r="JI10">
        <f>+data!EP5</f>
        <v>0</v>
      </c>
      <c r="JJ10">
        <f>+data!LU5</f>
        <v>0</v>
      </c>
      <c r="JK10">
        <f>+data!EQ5</f>
        <v>0</v>
      </c>
      <c r="JL10">
        <f>+data!LV5</f>
        <v>0</v>
      </c>
      <c r="JM10">
        <f>+data!AA5</f>
        <v>2.8222615779900053</v>
      </c>
      <c r="JN10">
        <f>+data!BD5</f>
        <v>0.21565228197999983</v>
      </c>
      <c r="JO10">
        <f>+data!ER5</f>
        <v>0.21565228197999983</v>
      </c>
      <c r="JP10">
        <f>+data!LW5</f>
        <v>0</v>
      </c>
      <c r="JQ10">
        <f>+data!BE5</f>
        <v>0.12562721819999989</v>
      </c>
      <c r="JR10">
        <f>+data!ES5</f>
        <v>0.12562721819999989</v>
      </c>
      <c r="JS10">
        <f>+data!LX5</f>
        <v>0.12562721819999989</v>
      </c>
      <c r="JT10">
        <f>+data!BF5</f>
        <v>2.4809830151600076</v>
      </c>
      <c r="JU10">
        <f>+data!ET5</f>
        <v>2.4809830151600076</v>
      </c>
      <c r="JV10">
        <f>+data!LY5</f>
        <v>2.4809830151600076</v>
      </c>
      <c r="JW10">
        <f>+data!AB5</f>
        <v>9.1868449858799917</v>
      </c>
      <c r="JX10">
        <f>+data!BG5</f>
        <v>1.2564230009400008</v>
      </c>
      <c r="JY10">
        <f>+data!EU5</f>
        <v>0.43636729240000005</v>
      </c>
      <c r="JZ10">
        <f>+data!LZ5</f>
        <v>0.10111604897999998</v>
      </c>
      <c r="KA10">
        <f>+data!MA5</f>
        <v>0.33525121819999987</v>
      </c>
      <c r="KB10">
        <f>+data!EV5</f>
        <v>0.11003504069000006</v>
      </c>
      <c r="KC10">
        <f>+data!MB5</f>
        <v>0.11003504069000006</v>
      </c>
      <c r="KD10">
        <f>+data!MC5</f>
        <v>0</v>
      </c>
      <c r="KE10">
        <f>+data!EW5</f>
        <v>0.41586761677999967</v>
      </c>
      <c r="KF10">
        <f>+data!MD5</f>
        <v>0.41586761677999967</v>
      </c>
      <c r="KG10">
        <f>+data!EX5</f>
        <v>0.2614520409000004</v>
      </c>
      <c r="KH10">
        <f>+data!ME5</f>
        <v>0.2614520409000004</v>
      </c>
      <c r="KI10">
        <f>+data!EY5</f>
        <v>3.2696674849999996E-2</v>
      </c>
      <c r="KJ10">
        <f>+data!MF5</f>
        <v>3.2696674849999996E-2</v>
      </c>
      <c r="KK10">
        <f>+data!BH5</f>
        <v>0.15348238116999999</v>
      </c>
      <c r="KL10">
        <f>+data!EZ5</f>
        <v>0.12242471750000002</v>
      </c>
      <c r="KM10">
        <f>+data!MG5</f>
        <v>0.12242471750000002</v>
      </c>
      <c r="KN10">
        <f>+data!FA5</f>
        <v>0</v>
      </c>
      <c r="KO10">
        <f>+data!MH5</f>
        <v>0</v>
      </c>
      <c r="KP10">
        <f>+data!MI5</f>
        <v>0</v>
      </c>
      <c r="KQ10">
        <f>+data!FB5</f>
        <v>3.1057593510000005E-2</v>
      </c>
      <c r="KR10">
        <f>+data!MJ5</f>
        <v>3.1057593510000005E-2</v>
      </c>
      <c r="KS10">
        <f>+data!BI5</f>
        <v>1.778183550869999</v>
      </c>
      <c r="KT10">
        <f>+data!FC5</f>
        <v>0.36900940386000014</v>
      </c>
      <c r="KU10">
        <f>+data!MK5</f>
        <v>0.36900940386000014</v>
      </c>
      <c r="KV10">
        <f>+data!FD5</f>
        <v>0.17743809553999976</v>
      </c>
      <c r="KW10">
        <f>+data!ML5</f>
        <v>0.17743809553999976</v>
      </c>
      <c r="KX10">
        <f>+data!FE5</f>
        <v>0.6815290593900023</v>
      </c>
      <c r="KY10">
        <f>+data!MM5</f>
        <v>0.6815290593900023</v>
      </c>
      <c r="KZ10">
        <f>+data!FF5</f>
        <v>0.55021117200999992</v>
      </c>
      <c r="LA10">
        <f>+data!MN5</f>
        <v>0.55021117200999992</v>
      </c>
      <c r="LB10">
        <f>+data!FG5</f>
        <v>0</v>
      </c>
      <c r="LC10">
        <f>+data!MO5</f>
        <v>0</v>
      </c>
      <c r="LD10">
        <f>+data!BJ5</f>
        <v>2.1171376172900049</v>
      </c>
      <c r="LE10">
        <f>+data!FH5</f>
        <v>0.5956002148399997</v>
      </c>
      <c r="LF10">
        <f>+data!MP5</f>
        <v>0.5956002148399997</v>
      </c>
      <c r="LG10">
        <f>+data!FI5</f>
        <v>1.0069761972399993</v>
      </c>
      <c r="LH10">
        <f>+data!MQ5</f>
        <v>0</v>
      </c>
      <c r="LI10">
        <f>+data!MR5</f>
        <v>0</v>
      </c>
      <c r="LJ10">
        <f>+data!MS5</f>
        <v>0.8122162410499989</v>
      </c>
      <c r="LK10">
        <f>+data!MT5</f>
        <v>0.19477455525999979</v>
      </c>
      <c r="LL10">
        <f>+data!FJ5</f>
        <v>0</v>
      </c>
      <c r="LM10">
        <f>+data!MU5</f>
        <v>0</v>
      </c>
      <c r="LN10">
        <f>+data!BK5</f>
        <v>1.6719417451000014</v>
      </c>
      <c r="LO10">
        <f>+data!FK5</f>
        <v>0.44266707526000065</v>
      </c>
      <c r="LP10">
        <f>+data!MV5</f>
        <v>0.44266707526000065</v>
      </c>
      <c r="LQ10">
        <f>+data!FL5</f>
        <v>0.70136656864999813</v>
      </c>
      <c r="LR10">
        <f>+data!MW5</f>
        <v>0.70136656864999813</v>
      </c>
      <c r="LS10">
        <f>+data!FM5</f>
        <v>0.52791091323999983</v>
      </c>
      <c r="LT10">
        <f>+data!MX5</f>
        <v>0.52791091323999983</v>
      </c>
      <c r="LU10">
        <f>+data!FN5</f>
        <v>0</v>
      </c>
      <c r="LV10">
        <f>+data!MY5</f>
        <v>0</v>
      </c>
      <c r="LW10">
        <f>+data!BL5</f>
        <v>2.2096859783099982</v>
      </c>
      <c r="LX10">
        <f>+data!AC5</f>
        <v>0.7275388833800005</v>
      </c>
      <c r="LY10">
        <f>+data!BM5</f>
        <v>0</v>
      </c>
      <c r="LZ10">
        <f>+data!FO5</f>
        <v>0</v>
      </c>
      <c r="MA10">
        <f>+data!MZ5</f>
        <v>0</v>
      </c>
      <c r="MB10">
        <f>+data!BN5</f>
        <v>0</v>
      </c>
      <c r="MC10">
        <f>+data!FP5</f>
        <v>0</v>
      </c>
      <c r="MD10">
        <f>+data!NA5</f>
        <v>0</v>
      </c>
      <c r="ME10">
        <f>+data!BO5</f>
        <v>0</v>
      </c>
      <c r="MF10">
        <f>+data!FQ5</f>
        <v>0</v>
      </c>
      <c r="MG10">
        <f>+data!NB5</f>
        <v>0</v>
      </c>
      <c r="MH10">
        <f>+data!BP5</f>
        <v>0</v>
      </c>
      <c r="MI10">
        <f>+data!FR5</f>
        <v>0</v>
      </c>
      <c r="MJ10">
        <f>+data!NC5</f>
        <v>0</v>
      </c>
      <c r="MK10">
        <f>+data!BQ5</f>
        <v>0.16279884017999999</v>
      </c>
      <c r="ML10">
        <f>+data!FS5</f>
        <v>0.16279884017999999</v>
      </c>
      <c r="MM10">
        <f>+data!ND5</f>
        <v>0.16279884017999999</v>
      </c>
      <c r="MN10">
        <f>+data!AD5</f>
        <v>3.6090660361200033</v>
      </c>
      <c r="MO10">
        <f>+data!BR5</f>
        <v>2.9389747776200061</v>
      </c>
      <c r="MP10">
        <f>+data!FT5</f>
        <v>2.6460946186300096</v>
      </c>
      <c r="MQ10">
        <f>+data!NE5</f>
        <v>0</v>
      </c>
      <c r="MR10">
        <f>+data!NF5</f>
        <v>0</v>
      </c>
      <c r="MS10">
        <f>+data!FV5</f>
        <v>0.29288024678000019</v>
      </c>
      <c r="MT10">
        <f>+data!NG5</f>
        <v>0.29288024678000019</v>
      </c>
      <c r="MU10">
        <f>+data!BT5</f>
        <v>0.67009053234999982</v>
      </c>
      <c r="MV10">
        <f>+data!GB5</f>
        <v>0.67009053234999982</v>
      </c>
      <c r="MW10">
        <f>+data!NH5</f>
        <v>0.67009053234999982</v>
      </c>
      <c r="MX10">
        <f>+data!AF5</f>
        <v>7.546694484800005</v>
      </c>
      <c r="MY10">
        <f>+data!CC5</f>
        <v>2.222259856280004</v>
      </c>
      <c r="MZ10">
        <f>+data!IA5</f>
        <v>0.98263671195000213</v>
      </c>
      <c r="NA10">
        <f>+data!NI5</f>
        <v>0.98263671195000213</v>
      </c>
      <c r="NB10">
        <f>+data!IC5</f>
        <v>3.2323247610000022E-2</v>
      </c>
      <c r="NC10">
        <f>+data!NJ5</f>
        <v>3.2323247610000022E-2</v>
      </c>
      <c r="ND10">
        <f>+data!IE5</f>
        <v>1.2072922820700016</v>
      </c>
      <c r="NE10">
        <f>+data!NK5</f>
        <v>1.2072922820700016</v>
      </c>
      <c r="NF10">
        <f>+data!CE5</f>
        <v>0</v>
      </c>
      <c r="NG10">
        <f>+data!IG5</f>
        <v>0</v>
      </c>
      <c r="NH10">
        <f>+data!NL5</f>
        <v>0</v>
      </c>
      <c r="NI10">
        <f>+data!CG5</f>
        <v>0.38545549968000009</v>
      </c>
      <c r="NJ10">
        <f>+data!IL5</f>
        <v>0.21321055903000005</v>
      </c>
      <c r="NK10">
        <f>+data!NM5</f>
        <v>0.21321055903000005</v>
      </c>
      <c r="NL10">
        <f>+data!IM5</f>
        <v>0.17224359929999994</v>
      </c>
      <c r="NM10">
        <f>+data!NN5</f>
        <v>0</v>
      </c>
      <c r="NN10">
        <f>+data!NO5</f>
        <v>0</v>
      </c>
      <c r="NO10">
        <f>+data!CH5</f>
        <v>0.22778176267999981</v>
      </c>
      <c r="NP10">
        <f>+data!IN5</f>
        <v>0.22778176267999981</v>
      </c>
      <c r="NQ10">
        <f>+data!NP5</f>
        <v>0.11577316524000003</v>
      </c>
      <c r="NR10">
        <f>+data!NQ5</f>
        <v>0.11200859744</v>
      </c>
      <c r="NS10">
        <f>+data!CI5</f>
        <v>4.1119151639599982</v>
      </c>
      <c r="NT10">
        <f>+data!IO5</f>
        <v>0</v>
      </c>
      <c r="NU10">
        <f>+data!NR5</f>
        <v>0</v>
      </c>
      <c r="NV10">
        <f>+data!IP5</f>
        <v>1.3518181387799986</v>
      </c>
      <c r="NW10">
        <f>+data!NS5</f>
        <v>1.3518181387799986</v>
      </c>
      <c r="NX10">
        <f>+data!IQ5</f>
        <v>1.4304379579399993</v>
      </c>
      <c r="NY10">
        <f>+data!NT5</f>
        <v>1.4304379579399993</v>
      </c>
      <c r="NZ10">
        <f>+data!IR5</f>
        <v>1.3296557592000018</v>
      </c>
      <c r="OA10">
        <f>+data!NU5</f>
        <v>1.3296557592000018</v>
      </c>
      <c r="OB10">
        <f>+data!CJ5</f>
        <v>0.17762505014999985</v>
      </c>
      <c r="OC10">
        <f>+data!IS5</f>
        <v>0.17762505014999985</v>
      </c>
      <c r="OD10">
        <f>+data!NV5</f>
        <v>0.17762505014999985</v>
      </c>
      <c r="OE10">
        <f>+data!CK5</f>
        <v>0.38396543256000043</v>
      </c>
      <c r="OF10">
        <f>+data!IT5</f>
        <v>0.38396543256000043</v>
      </c>
      <c r="OG10">
        <f>+data!NW5</f>
        <v>0.13647965834</v>
      </c>
    </row>
    <row r="11" spans="7:397">
      <c r="J11" s="4">
        <f t="shared" si="340"/>
        <v>8.6561157896265853E-2</v>
      </c>
      <c r="K11" t="s">
        <v>391</v>
      </c>
      <c r="AC11">
        <f>+data!S6</f>
        <v>97.668000309950045</v>
      </c>
      <c r="AD11">
        <f>+data!T6</f>
        <v>12.964258188380022</v>
      </c>
      <c r="AE11">
        <f>+data!AE6</f>
        <v>11.618340100790009</v>
      </c>
      <c r="AF11">
        <f>+data!BS6</f>
        <v>0</v>
      </c>
      <c r="AG11">
        <f>+data!FU6</f>
        <v>0</v>
      </c>
      <c r="AH11">
        <f>+data!FW6</f>
        <v>0</v>
      </c>
      <c r="AI11">
        <f>+data!FX6</f>
        <v>0</v>
      </c>
      <c r="AJ11">
        <f>+data!FY6</f>
        <v>0</v>
      </c>
      <c r="AK11">
        <f>+data!FZ6</f>
        <v>0</v>
      </c>
      <c r="AL11">
        <f>+data!GA6</f>
        <v>0</v>
      </c>
      <c r="AM11">
        <f>+data!BU6</f>
        <v>0</v>
      </c>
      <c r="AN11">
        <f>+data!GC6</f>
        <v>0</v>
      </c>
      <c r="AO11">
        <f>+data!GD6</f>
        <v>0</v>
      </c>
      <c r="AP11">
        <f>+data!GE6</f>
        <v>0</v>
      </c>
      <c r="AQ11">
        <f>+data!GF6</f>
        <v>0</v>
      </c>
      <c r="AR11">
        <f>+data!GG6</f>
        <v>0</v>
      </c>
      <c r="AS11">
        <f>+data!GH6</f>
        <v>0</v>
      </c>
      <c r="AT11">
        <f>+data!GI6</f>
        <v>0</v>
      </c>
      <c r="AU11">
        <f>+data!BV6</f>
        <v>0</v>
      </c>
      <c r="AV11">
        <f>+data!GJ6</f>
        <v>0</v>
      </c>
      <c r="AW11">
        <f>+data!GK6</f>
        <v>0</v>
      </c>
      <c r="AX11">
        <f>+data!GL6</f>
        <v>0</v>
      </c>
      <c r="AY11">
        <f>+data!GM6</f>
        <v>0</v>
      </c>
      <c r="AZ11">
        <f>+data!BW6</f>
        <v>0</v>
      </c>
      <c r="BA11">
        <f>+data!GN6</f>
        <v>0</v>
      </c>
      <c r="BB11">
        <f>+data!GO6</f>
        <v>0</v>
      </c>
      <c r="BC11">
        <f>+data!GP6</f>
        <v>0</v>
      </c>
      <c r="BD11">
        <f>+data!GQ6</f>
        <v>0</v>
      </c>
      <c r="BE11">
        <f>+data!GR6</f>
        <v>0</v>
      </c>
      <c r="BF11">
        <f>+data!GS6</f>
        <v>0</v>
      </c>
      <c r="BG11">
        <f>+data!GT6</f>
        <v>0</v>
      </c>
      <c r="BH11">
        <f>+data!BX6</f>
        <v>0</v>
      </c>
      <c r="BI11">
        <f>+data!GU6</f>
        <v>0</v>
      </c>
      <c r="BJ11">
        <f>+data!GV6</f>
        <v>0</v>
      </c>
      <c r="BK11">
        <f>+data!GW6</f>
        <v>0</v>
      </c>
      <c r="BL11">
        <f>+data!GX6</f>
        <v>0</v>
      </c>
      <c r="BM11">
        <f>+data!GY6</f>
        <v>0</v>
      </c>
      <c r="BN11">
        <f>+data!BY6</f>
        <v>0</v>
      </c>
      <c r="BO11">
        <f>+data!GZ6</f>
        <v>0</v>
      </c>
      <c r="BP11">
        <f>+data!HA6</f>
        <v>0</v>
      </c>
      <c r="BQ11">
        <f>+data!HB6</f>
        <v>0</v>
      </c>
      <c r="BR11">
        <f>+data!HC6</f>
        <v>0</v>
      </c>
      <c r="BS11">
        <f>+data!HD6</f>
        <v>0</v>
      </c>
      <c r="BT11">
        <f>+data!HE6</f>
        <v>0</v>
      </c>
      <c r="BU11">
        <f>+data!HF6</f>
        <v>0</v>
      </c>
      <c r="BV11">
        <f>+data!HG6</f>
        <v>0</v>
      </c>
      <c r="BW11">
        <f>+data!HH6</f>
        <v>0</v>
      </c>
      <c r="BX11">
        <f>+data!BZ6</f>
        <v>0</v>
      </c>
      <c r="BY11">
        <f>+data!HI6</f>
        <v>0</v>
      </c>
      <c r="BZ11">
        <f>+data!HJ6</f>
        <v>0</v>
      </c>
      <c r="CA11">
        <f>+data!HK6</f>
        <v>0</v>
      </c>
      <c r="CB11">
        <f>+data!HL6</f>
        <v>0</v>
      </c>
      <c r="CC11">
        <f>+data!HM6</f>
        <v>0</v>
      </c>
      <c r="CD11">
        <f>+data!HN6</f>
        <v>0</v>
      </c>
      <c r="CE11">
        <f>+data!HO6</f>
        <v>0</v>
      </c>
      <c r="CF11">
        <f>+data!HP6</f>
        <v>0</v>
      </c>
      <c r="CG11">
        <f>+data!CA6</f>
        <v>0</v>
      </c>
      <c r="CH11">
        <f>+data!HQ6</f>
        <v>0</v>
      </c>
      <c r="CI11">
        <f>+data!HR6</f>
        <v>0</v>
      </c>
      <c r="CJ11">
        <f>+data!HS6</f>
        <v>0</v>
      </c>
      <c r="CK11">
        <f>+data!HT6</f>
        <v>0</v>
      </c>
      <c r="CL11">
        <f>+data!HU6</f>
        <v>0</v>
      </c>
      <c r="CM11">
        <f>+data!HV6</f>
        <v>0</v>
      </c>
      <c r="CN11">
        <f>+data!CB6</f>
        <v>0</v>
      </c>
      <c r="CO11">
        <f>+data!HW6</f>
        <v>0</v>
      </c>
      <c r="CP11">
        <f>+data!HX6</f>
        <v>0</v>
      </c>
      <c r="CQ11">
        <f>+data!HY6</f>
        <v>0</v>
      </c>
      <c r="CR11">
        <f>+data!HZ6</f>
        <v>0</v>
      </c>
      <c r="CS11">
        <f>+data!AG6</f>
        <v>1.3459227809199941</v>
      </c>
      <c r="CT11">
        <f>+data!CD6</f>
        <v>0</v>
      </c>
      <c r="CU11">
        <f>+data!IB6</f>
        <v>0</v>
      </c>
      <c r="CV11">
        <f>+data!ID6</f>
        <v>0</v>
      </c>
      <c r="CW11">
        <f>+data!IF6</f>
        <v>0</v>
      </c>
      <c r="CX11">
        <f>+data!CF6</f>
        <v>0</v>
      </c>
      <c r="CY11">
        <f>+data!IH6</f>
        <v>0</v>
      </c>
      <c r="CZ11">
        <f>+data!II6</f>
        <v>0</v>
      </c>
      <c r="DA11">
        <f>+data!IJ6</f>
        <v>0</v>
      </c>
      <c r="DB11">
        <f>+data!IK6</f>
        <v>0</v>
      </c>
      <c r="DC11">
        <f>+data!U6</f>
        <v>1.7824674872299975</v>
      </c>
      <c r="DD11">
        <f>+data!AH6</f>
        <v>0.93709084230000117</v>
      </c>
      <c r="DE11">
        <f>+data!CL6</f>
        <v>0</v>
      </c>
      <c r="DF11">
        <f>+data!IU6</f>
        <v>0</v>
      </c>
      <c r="DG11">
        <f>+data!CM6</f>
        <v>0</v>
      </c>
      <c r="DH11">
        <f>+data!IV6</f>
        <v>0</v>
      </c>
      <c r="DI11">
        <f>+data!IW6</f>
        <v>0</v>
      </c>
      <c r="DJ11">
        <f>+data!CN6</f>
        <v>0</v>
      </c>
      <c r="DK11">
        <f>+data!IX6</f>
        <v>0</v>
      </c>
      <c r="DL11">
        <f>+data!AI6</f>
        <v>0.84537623389999839</v>
      </c>
      <c r="DM11">
        <f>+data!CO6</f>
        <v>0</v>
      </c>
      <c r="DN11">
        <f>+data!IY6</f>
        <v>0</v>
      </c>
      <c r="DO11">
        <f>+data!IZ6</f>
        <v>0</v>
      </c>
      <c r="DP11">
        <f>+data!JA6</f>
        <v>0</v>
      </c>
      <c r="DQ11">
        <f>+data!AJ6</f>
        <v>0</v>
      </c>
      <c r="DR11">
        <f>+data!CP6</f>
        <v>0</v>
      </c>
      <c r="DS11">
        <f>+data!V6</f>
        <v>4.3126343704799925</v>
      </c>
      <c r="DT11">
        <f>+data!AK6</f>
        <v>3.4020501097899944</v>
      </c>
      <c r="DU11">
        <f>+data!CQ6</f>
        <v>7.3990632360000003E-2</v>
      </c>
      <c r="DV11">
        <f>+data!JB6</f>
        <v>7.3990632360000003E-2</v>
      </c>
      <c r="DW11">
        <f>+data!CR6</f>
        <v>3.1374548283699961</v>
      </c>
      <c r="DX11">
        <f>+data!JC6</f>
        <v>0.87993326627999802</v>
      </c>
      <c r="DY11">
        <f>+data!JD6</f>
        <v>1.7493600804799974</v>
      </c>
      <c r="DZ11">
        <f>+data!JE6</f>
        <v>0.37572895512000021</v>
      </c>
      <c r="EA11">
        <f>+data!CS6</f>
        <v>0.10350663722000003</v>
      </c>
      <c r="EB11">
        <f>+data!JF6</f>
        <v>0.10350663722000003</v>
      </c>
      <c r="EC11">
        <f>+data!CT6</f>
        <v>8.7100905910000165E-2</v>
      </c>
      <c r="ED11">
        <f>+data!JG6</f>
        <v>8.7100905910000165E-2</v>
      </c>
      <c r="EE11">
        <f>+data!AL6</f>
        <v>0.91058114085000019</v>
      </c>
      <c r="EF11">
        <f>+data!CU6</f>
        <v>0.86917570662000032</v>
      </c>
      <c r="EG11">
        <f>+data!JH6</f>
        <v>0.25263652504000023</v>
      </c>
      <c r="EH11">
        <f>+data!JI6</f>
        <v>0.45523953751999974</v>
      </c>
      <c r="EI11">
        <f>+data!JJ6</f>
        <v>0.16129364121000009</v>
      </c>
      <c r="EJ11">
        <f>+data!CV6</f>
        <v>2.5491788630000005E-2</v>
      </c>
      <c r="EK11">
        <f>+data!JK6</f>
        <v>2.5491788630000005E-2</v>
      </c>
      <c r="EL11">
        <f>+data!W6</f>
        <v>32.006102360739909</v>
      </c>
      <c r="EM11">
        <f>+data!AM6</f>
        <v>10.396120602100018</v>
      </c>
      <c r="EN11">
        <f>+data!CW6</f>
        <v>10.258425538870013</v>
      </c>
      <c r="EO11">
        <f>+data!JL6</f>
        <v>10.258425538870013</v>
      </c>
      <c r="EP11">
        <f>+data!CX6</f>
        <v>0.13769534048999998</v>
      </c>
      <c r="EQ11">
        <f>+data!JM6</f>
        <v>0.13769534048999998</v>
      </c>
      <c r="ER11">
        <f>+data!AN6</f>
        <v>12.028628378310009</v>
      </c>
      <c r="ES11">
        <f>+data!CY6</f>
        <v>11.148663285860005</v>
      </c>
      <c r="ET11">
        <f>+data!JN6</f>
        <v>11.148663285860005</v>
      </c>
      <c r="EU11">
        <f>+data!CZ6</f>
        <v>0.87996542958000012</v>
      </c>
      <c r="EV11">
        <f>+data!JO6</f>
        <v>0.65157385824000003</v>
      </c>
      <c r="EW11">
        <f>+data!JP6</f>
        <v>0.22839162427999998</v>
      </c>
      <c r="EX11">
        <f>+data!AO6</f>
        <v>0.896829374449999</v>
      </c>
      <c r="EY11">
        <f>+data!DA6</f>
        <v>0.48349629003999978</v>
      </c>
      <c r="EZ11">
        <f>+data!JQ6</f>
        <v>0.48349629003999978</v>
      </c>
      <c r="FA11">
        <f>+data!DB6</f>
        <v>0.41333352534999968</v>
      </c>
      <c r="FB11">
        <f>+data!JR6</f>
        <v>0.41333352534999968</v>
      </c>
      <c r="FC11">
        <f>+data!AP6</f>
        <v>0</v>
      </c>
      <c r="FD11">
        <f>+data!DC6</f>
        <v>0</v>
      </c>
      <c r="FE11">
        <f>+data!JS6</f>
        <v>0</v>
      </c>
      <c r="FF11">
        <f>+data!DD6</f>
        <v>0</v>
      </c>
      <c r="FG11">
        <f>+data!JT6</f>
        <v>0</v>
      </c>
      <c r="FH11">
        <f>+data!DE6</f>
        <v>0</v>
      </c>
      <c r="FI11">
        <f>+data!JU6</f>
        <v>0</v>
      </c>
      <c r="FJ11">
        <f>+data!DF6</f>
        <v>0</v>
      </c>
      <c r="FK11">
        <f>+data!JV6</f>
        <v>0</v>
      </c>
      <c r="FL11">
        <f>+data!AQ6</f>
        <v>6.243634050780007</v>
      </c>
      <c r="FM11">
        <f>+data!DG6</f>
        <v>2.5839657594899936</v>
      </c>
      <c r="FN11">
        <f>+data!JW6</f>
        <v>2.5839657594899936</v>
      </c>
      <c r="FO11">
        <f>+data!DH6</f>
        <v>1.5955365160400021</v>
      </c>
      <c r="FP11">
        <f>+data!JX6</f>
        <v>0</v>
      </c>
      <c r="FQ11">
        <f>+data!JY6</f>
        <v>0</v>
      </c>
      <c r="FR11">
        <f>+data!DI6</f>
        <v>1.3582223034499998</v>
      </c>
      <c r="FS11">
        <f>+data!JZ6</f>
        <v>1.3582223034499998</v>
      </c>
      <c r="FT11">
        <f>+data!DJ6</f>
        <v>0.13283960238000012</v>
      </c>
      <c r="FU11">
        <f>+data!KA6</f>
        <v>0.13283960238000012</v>
      </c>
      <c r="FV11">
        <f>+data!DK6</f>
        <v>0.57306312253000036</v>
      </c>
      <c r="FW11">
        <f>+data!KB6</f>
        <v>0.57306312253000036</v>
      </c>
      <c r="FX11">
        <f>+data!X6</f>
        <v>4.3908359961599954</v>
      </c>
      <c r="FY11">
        <f>+data!AR6</f>
        <v>1.6890292787900008</v>
      </c>
      <c r="FZ11">
        <f>+data!DL6</f>
        <v>1.4676086566700006</v>
      </c>
      <c r="GA11">
        <f>+data!KC6</f>
        <v>1.4676086566700006</v>
      </c>
      <c r="GB11">
        <f>+data!DM6</f>
        <v>0.15321248903999998</v>
      </c>
      <c r="GC11">
        <f>+data!KD6</f>
        <v>0.15321248903999998</v>
      </c>
      <c r="GD11">
        <f>+data!DN6</f>
        <v>6.8208990610000006E-2</v>
      </c>
      <c r="GE11">
        <f>+data!KE6</f>
        <v>6.8208990610000006E-2</v>
      </c>
      <c r="GF11">
        <f>+data!AS6</f>
        <v>0.35659540687000058</v>
      </c>
      <c r="GG11">
        <f>+data!DO6</f>
        <v>0.35659540687000058</v>
      </c>
      <c r="GH11">
        <f>+data!KF6</f>
        <v>0.35659540687000058</v>
      </c>
      <c r="GI11">
        <f>+data!AT6</f>
        <v>0.77247622904999724</v>
      </c>
      <c r="GJ11">
        <f>+data!DP6</f>
        <v>0.53267059451999965</v>
      </c>
      <c r="GK11">
        <f>+data!KG6</f>
        <v>0.11617513206000001</v>
      </c>
      <c r="GL11">
        <f>+data!KH6</f>
        <v>0.22381953848000008</v>
      </c>
      <c r="GM11">
        <f>+data!KI6</f>
        <v>0</v>
      </c>
      <c r="GN11">
        <f>+data!KJ6</f>
        <v>0</v>
      </c>
      <c r="GO11">
        <f>+data!KK6</f>
        <v>0</v>
      </c>
      <c r="GP11">
        <f>+data!KL6</f>
        <v>0</v>
      </c>
      <c r="GQ11">
        <f>+data!KM6</f>
        <v>0.16643902279999995</v>
      </c>
      <c r="GR11">
        <f>+data!DQ6</f>
        <v>0.18713468404000039</v>
      </c>
      <c r="GS11">
        <f>+data!KN6</f>
        <v>0.18713468404000039</v>
      </c>
      <c r="GT11">
        <f>+data!DR6</f>
        <v>5.2670802039999957E-2</v>
      </c>
      <c r="GU11">
        <f>+data!KO6</f>
        <v>5.2670802039999957E-2</v>
      </c>
      <c r="GV11">
        <f>+data!AU6</f>
        <v>0.30108862828999983</v>
      </c>
      <c r="GW11">
        <f>+data!DS6</f>
        <v>1.4275579370000006E-2</v>
      </c>
      <c r="GX11">
        <f>+data!KP6</f>
        <v>0</v>
      </c>
      <c r="GY11">
        <f>+data!KQ6</f>
        <v>0</v>
      </c>
      <c r="GZ11">
        <f>+data!KR6</f>
        <v>0</v>
      </c>
      <c r="HA11">
        <f>+data!KS6</f>
        <v>1.4275579370000006E-2</v>
      </c>
      <c r="HB11">
        <f>+data!AV6</f>
        <v>0.53597995657999953</v>
      </c>
      <c r="HC11">
        <f>+data!DT6</f>
        <v>0</v>
      </c>
      <c r="HD11">
        <f>+data!KT6</f>
        <v>0</v>
      </c>
      <c r="HE11">
        <f>+data!DU6</f>
        <v>0</v>
      </c>
      <c r="HF11">
        <f>+data!KU6</f>
        <v>0</v>
      </c>
      <c r="HG11">
        <f>+data!AW6</f>
        <v>0.54599575260000077</v>
      </c>
      <c r="HH11">
        <f>+data!DV6</f>
        <v>0.38902949323999975</v>
      </c>
      <c r="HI11">
        <f>+data!KV6</f>
        <v>0</v>
      </c>
      <c r="HJ11">
        <f>+data!KW6</f>
        <v>0</v>
      </c>
      <c r="HK11">
        <f>+data!DW6</f>
        <v>0.15696669908999997</v>
      </c>
      <c r="HL11">
        <f>+data!KX6</f>
        <v>0</v>
      </c>
      <c r="HM11">
        <f>+data!KY6</f>
        <v>0</v>
      </c>
      <c r="HN11">
        <f>+data!Y6</f>
        <v>2.970130130440011</v>
      </c>
      <c r="HO11">
        <f>+data!AX6</f>
        <v>1.8424743331699953</v>
      </c>
      <c r="HP11">
        <f>+data!DX6</f>
        <v>0.80077979102000041</v>
      </c>
      <c r="HQ11">
        <f>+data!KZ6</f>
        <v>0.80077979102000041</v>
      </c>
      <c r="HR11">
        <f>+data!DY6</f>
        <v>0.25193604004000009</v>
      </c>
      <c r="HS11">
        <f>+data!LA6</f>
        <v>0.25193604004000009</v>
      </c>
      <c r="HT11">
        <f>+data!DZ6</f>
        <v>0.78976062668000102</v>
      </c>
      <c r="HU11">
        <f>+data!LB6</f>
        <v>0.78976062668000102</v>
      </c>
      <c r="HV11">
        <f>+data!AY6</f>
        <v>1.0117239678399987</v>
      </c>
      <c r="HW11">
        <f>+data!EA6</f>
        <v>0.43537496424999944</v>
      </c>
      <c r="HX11">
        <f>+data!LC6</f>
        <v>0.43537496424999944</v>
      </c>
      <c r="HY11">
        <f>+data!EB6</f>
        <v>0.44434467284000073</v>
      </c>
      <c r="HZ11">
        <f>+data!LD6</f>
        <v>0.44434467284000073</v>
      </c>
      <c r="IA11">
        <f>+data!EC6</f>
        <v>0.13199008741000007</v>
      </c>
      <c r="IB11">
        <f>+data!LE6</f>
        <v>0</v>
      </c>
      <c r="IC11">
        <f>+data!LF6</f>
        <v>0</v>
      </c>
      <c r="ID11">
        <f>+data!LG6</f>
        <v>0.13199008741000007</v>
      </c>
      <c r="IE11">
        <f>+data!AZ6</f>
        <v>0.11320969702000001</v>
      </c>
      <c r="IF11">
        <f>+data!Z6</f>
        <v>12.845514198739988</v>
      </c>
      <c r="IG11">
        <f>+data!BA6</f>
        <v>3.2647754327699987</v>
      </c>
      <c r="IH11">
        <f>+data!ED6</f>
        <v>2.6613971519999984</v>
      </c>
      <c r="II11">
        <f>+data!LH6</f>
        <v>1.3088386651900004</v>
      </c>
      <c r="IJ11">
        <f>+data!LI6</f>
        <v>1.3525584868100005</v>
      </c>
      <c r="IK11">
        <f>+data!EE6</f>
        <v>0.11643987603000001</v>
      </c>
      <c r="IL11">
        <f>+data!LJ6</f>
        <v>0.11643987603000001</v>
      </c>
      <c r="IM11">
        <f>+data!EF6</f>
        <v>0.15686324237999999</v>
      </c>
      <c r="IN11">
        <f>+data!LK6</f>
        <v>0.15686324237999999</v>
      </c>
      <c r="IO11">
        <f>+data!EG6</f>
        <v>0</v>
      </c>
      <c r="IP11">
        <f>+data!LL6</f>
        <v>0</v>
      </c>
      <c r="IQ11">
        <f>+data!BB6</f>
        <v>8.9669177077400022</v>
      </c>
      <c r="IR11">
        <f>+data!EH6</f>
        <v>0.71398660870999775</v>
      </c>
      <c r="IS11">
        <f>+data!LM6</f>
        <v>0.71398660870999775</v>
      </c>
      <c r="IT11">
        <f>+data!EI6</f>
        <v>4.4580775740600131</v>
      </c>
      <c r="IU11">
        <f>+data!LN6</f>
        <v>4.4580775740600131</v>
      </c>
      <c r="IV11">
        <f>+data!EJ6</f>
        <v>1.4541106989799986</v>
      </c>
      <c r="IW11">
        <f>+data!LO6</f>
        <v>1.4541106989799986</v>
      </c>
      <c r="IX11">
        <f>+data!EK6</f>
        <v>2.3407477432200041</v>
      </c>
      <c r="IY11">
        <f>+data!LP6</f>
        <v>2.3407477432200041</v>
      </c>
      <c r="IZ11">
        <f>+data!BC6</f>
        <v>1.2316495501100004</v>
      </c>
      <c r="JA11">
        <f>+data!EL6</f>
        <v>0</v>
      </c>
      <c r="JB11">
        <f>+data!LQ6</f>
        <v>0</v>
      </c>
      <c r="JC11">
        <f>+data!EM6</f>
        <v>0</v>
      </c>
      <c r="JD11">
        <f>+data!LR6</f>
        <v>0</v>
      </c>
      <c r="JE11">
        <f>+data!EN6</f>
        <v>0.25441188804000003</v>
      </c>
      <c r="JF11">
        <f>+data!LS6</f>
        <v>0.25441188804000003</v>
      </c>
      <c r="JG11">
        <f>+data!EO6</f>
        <v>0</v>
      </c>
      <c r="JH11">
        <f>+data!LT6</f>
        <v>0</v>
      </c>
      <c r="JI11">
        <f>+data!EP6</f>
        <v>0</v>
      </c>
      <c r="JJ11">
        <f>+data!LU6</f>
        <v>0</v>
      </c>
      <c r="JK11">
        <f>+data!EQ6</f>
        <v>0</v>
      </c>
      <c r="JL11">
        <f>+data!LV6</f>
        <v>0</v>
      </c>
      <c r="JM11">
        <f>+data!AA6</f>
        <v>2.9191700835599979</v>
      </c>
      <c r="JN11">
        <f>+data!BD6</f>
        <v>0.24006762136999962</v>
      </c>
      <c r="JO11">
        <f>+data!ER6</f>
        <v>0.24006762136999962</v>
      </c>
      <c r="JP11">
        <f>+data!LW6</f>
        <v>0</v>
      </c>
      <c r="JQ11">
        <f>+data!BE6</f>
        <v>0.12996617610999989</v>
      </c>
      <c r="JR11">
        <f>+data!ES6</f>
        <v>0.12996617610999989</v>
      </c>
      <c r="JS11">
        <f>+data!LX6</f>
        <v>0.12996617610999989</v>
      </c>
      <c r="JT11">
        <f>+data!BF6</f>
        <v>2.5491425989300067</v>
      </c>
      <c r="JU11">
        <f>+data!ET6</f>
        <v>2.5491425989300067</v>
      </c>
      <c r="JV11">
        <f>+data!LY6</f>
        <v>2.5491425989300067</v>
      </c>
      <c r="JW11">
        <f>+data!AB6</f>
        <v>9.8801185690600324</v>
      </c>
      <c r="JX11">
        <f>+data!BG6</f>
        <v>1.4299681302199991</v>
      </c>
      <c r="JY11">
        <f>+data!EU6</f>
        <v>0.46225341302000006</v>
      </c>
      <c r="JZ11">
        <f>+data!LZ6</f>
        <v>0.10371251149000008</v>
      </c>
      <c r="KA11">
        <f>+data!MA6</f>
        <v>0.3585412027600004</v>
      </c>
      <c r="KB11">
        <f>+data!EV6</f>
        <v>0.14059999515000005</v>
      </c>
      <c r="KC11">
        <f>+data!MB6</f>
        <v>0.14059999515000005</v>
      </c>
      <c r="KD11">
        <f>+data!MC6</f>
        <v>0</v>
      </c>
      <c r="KE11">
        <f>+data!EW6</f>
        <v>0.51341785048999999</v>
      </c>
      <c r="KF11">
        <f>+data!MD6</f>
        <v>0.51341785048999999</v>
      </c>
      <c r="KG11">
        <f>+data!EX6</f>
        <v>0.28219204935000031</v>
      </c>
      <c r="KH11">
        <f>+data!ME6</f>
        <v>0.28219204935000031</v>
      </c>
      <c r="KI11">
        <f>+data!EY6</f>
        <v>3.1497422690000026E-2</v>
      </c>
      <c r="KJ11">
        <f>+data!MF6</f>
        <v>3.1497422690000026E-2</v>
      </c>
      <c r="KK11">
        <f>+data!BH6</f>
        <v>0.15636685880999998</v>
      </c>
      <c r="KL11">
        <f>+data!EZ6</f>
        <v>0.13532916584000002</v>
      </c>
      <c r="KM11">
        <f>+data!MG6</f>
        <v>0.13532916584000002</v>
      </c>
      <c r="KN11">
        <f>+data!FA6</f>
        <v>0</v>
      </c>
      <c r="KO11">
        <f>+data!MH6</f>
        <v>0</v>
      </c>
      <c r="KP11">
        <f>+data!MI6</f>
        <v>0</v>
      </c>
      <c r="KQ11">
        <f>+data!FB6</f>
        <v>2.1037690339999998E-2</v>
      </c>
      <c r="KR11">
        <f>+data!MJ6</f>
        <v>2.1037690339999998E-2</v>
      </c>
      <c r="KS11">
        <f>+data!BI6</f>
        <v>1.8519918921199963</v>
      </c>
      <c r="KT11">
        <f>+data!FC6</f>
        <v>0.37425798657999981</v>
      </c>
      <c r="KU11">
        <f>+data!MK6</f>
        <v>0.37425798657999981</v>
      </c>
      <c r="KV11">
        <f>+data!FD6</f>
        <v>0.22065081821000024</v>
      </c>
      <c r="KW11">
        <f>+data!ML6</f>
        <v>0.22065081821000024</v>
      </c>
      <c r="KX11">
        <f>+data!FE6</f>
        <v>0.7079891135600016</v>
      </c>
      <c r="KY11">
        <f>+data!MM6</f>
        <v>0.7079891135600016</v>
      </c>
      <c r="KZ11">
        <f>+data!FF6</f>
        <v>0.54909693017000016</v>
      </c>
      <c r="LA11">
        <f>+data!MN6</f>
        <v>0.54909693017000016</v>
      </c>
      <c r="LB11">
        <f>+data!FG6</f>
        <v>0</v>
      </c>
      <c r="LC11">
        <f>+data!MO6</f>
        <v>0</v>
      </c>
      <c r="LD11">
        <f>+data!BJ6</f>
        <v>2.3304234098599954</v>
      </c>
      <c r="LE11">
        <f>+data!FH6</f>
        <v>0.75651204814999906</v>
      </c>
      <c r="LF11">
        <f>+data!MP6</f>
        <v>0.75651204814999906</v>
      </c>
      <c r="LG11">
        <f>+data!FI6</f>
        <v>1.0278826860400021</v>
      </c>
      <c r="LH11">
        <f>+data!MQ6</f>
        <v>0</v>
      </c>
      <c r="LI11">
        <f>+data!MR6</f>
        <v>0</v>
      </c>
      <c r="LJ11">
        <f>+data!MS6</f>
        <v>0.79856391619000289</v>
      </c>
      <c r="LK11">
        <f>+data!MT6</f>
        <v>0.22933009251999981</v>
      </c>
      <c r="LL11">
        <f>+data!FJ6</f>
        <v>0</v>
      </c>
      <c r="LM11">
        <f>+data!MU6</f>
        <v>0</v>
      </c>
      <c r="LN11">
        <f>+data!BK6</f>
        <v>1.7292130399799976</v>
      </c>
      <c r="LO11">
        <f>+data!FK6</f>
        <v>0.47360590760000093</v>
      </c>
      <c r="LP11">
        <f>+data!MV6</f>
        <v>0.47360590760000093</v>
      </c>
      <c r="LQ11">
        <f>+data!FL6</f>
        <v>0.6951529459200001</v>
      </c>
      <c r="LR11">
        <f>+data!MW6</f>
        <v>0.6951529459200001</v>
      </c>
      <c r="LS11">
        <f>+data!FM6</f>
        <v>0.56045239799000113</v>
      </c>
      <c r="LT11">
        <f>+data!MX6</f>
        <v>0.56045239799000113</v>
      </c>
      <c r="LU11">
        <f>+data!FN6</f>
        <v>0</v>
      </c>
      <c r="LV11">
        <f>+data!MY6</f>
        <v>0</v>
      </c>
      <c r="LW11">
        <f>+data!BL6</f>
        <v>2.3821646275299995</v>
      </c>
      <c r="LX11">
        <f>+data!AC6</f>
        <v>0.86747610547999965</v>
      </c>
      <c r="LY11">
        <f>+data!BM6</f>
        <v>0</v>
      </c>
      <c r="LZ11">
        <f>+data!FO6</f>
        <v>0</v>
      </c>
      <c r="MA11">
        <f>+data!MZ6</f>
        <v>0</v>
      </c>
      <c r="MB11">
        <f>+data!BN6</f>
        <v>0</v>
      </c>
      <c r="MC11">
        <f>+data!FP6</f>
        <v>0</v>
      </c>
      <c r="MD11">
        <f>+data!NA6</f>
        <v>0</v>
      </c>
      <c r="ME11">
        <f>+data!BO6</f>
        <v>0</v>
      </c>
      <c r="MF11">
        <f>+data!FQ6</f>
        <v>0</v>
      </c>
      <c r="MG11">
        <f>+data!NB6</f>
        <v>0</v>
      </c>
      <c r="MH11">
        <f>+data!BP6</f>
        <v>0</v>
      </c>
      <c r="MI11">
        <f>+data!FR6</f>
        <v>0</v>
      </c>
      <c r="MJ11">
        <f>+data!NC6</f>
        <v>0</v>
      </c>
      <c r="MK11">
        <f>+data!BQ6</f>
        <v>0.18758806708999978</v>
      </c>
      <c r="ML11">
        <f>+data!FS6</f>
        <v>0.18758806708999978</v>
      </c>
      <c r="MM11">
        <f>+data!ND6</f>
        <v>0.18758806708999978</v>
      </c>
      <c r="MN11">
        <f>+data!AD6</f>
        <v>4.2020813453100043</v>
      </c>
      <c r="MO11">
        <f>+data!BR6</f>
        <v>3.3320412452800143</v>
      </c>
      <c r="MP11">
        <f>+data!FT6</f>
        <v>2.999244859770017</v>
      </c>
      <c r="MQ11">
        <f>+data!NE6</f>
        <v>0</v>
      </c>
      <c r="MR11">
        <f>+data!NF6</f>
        <v>0</v>
      </c>
      <c r="MS11">
        <f>+data!FV6</f>
        <v>0.33279774707000009</v>
      </c>
      <c r="MT11">
        <f>+data!NG6</f>
        <v>0.33279774707000009</v>
      </c>
      <c r="MU11">
        <f>+data!BT6</f>
        <v>0.87003730978000071</v>
      </c>
      <c r="MV11">
        <f>+data!GB6</f>
        <v>0.87003730978000071</v>
      </c>
      <c r="MW11">
        <f>+data!NH6</f>
        <v>0.87003730978000071</v>
      </c>
      <c r="MX11">
        <f>+data!AF6</f>
        <v>8.5272031085799807</v>
      </c>
      <c r="MY11">
        <f>+data!CC6</f>
        <v>2.3376323538500015</v>
      </c>
      <c r="MZ11">
        <f>+data!IA6</f>
        <v>1.0423003737799987</v>
      </c>
      <c r="NA11">
        <f>+data!NI6</f>
        <v>1.0423003737799987</v>
      </c>
      <c r="NB11">
        <f>+data!IC6</f>
        <v>3.8625008369999991E-2</v>
      </c>
      <c r="NC11">
        <f>+data!NJ6</f>
        <v>3.8625008369999991E-2</v>
      </c>
      <c r="ND11">
        <f>+data!IE6</f>
        <v>1.2567065991299973</v>
      </c>
      <c r="NE11">
        <f>+data!NK6</f>
        <v>1.2567065991299973</v>
      </c>
      <c r="NF11">
        <f>+data!CE6</f>
        <v>0</v>
      </c>
      <c r="NG11">
        <f>+data!IG6</f>
        <v>0</v>
      </c>
      <c r="NH11">
        <f>+data!NL6</f>
        <v>0</v>
      </c>
      <c r="NI11">
        <f>+data!CG6</f>
        <v>0.44344414771000001</v>
      </c>
      <c r="NJ11">
        <f>+data!IL6</f>
        <v>0.26381216959999981</v>
      </c>
      <c r="NK11">
        <f>+data!NM6</f>
        <v>0.26381216959999981</v>
      </c>
      <c r="NL11">
        <f>+data!IM6</f>
        <v>0.17963081256999996</v>
      </c>
      <c r="NM11">
        <f>+data!NN6</f>
        <v>0</v>
      </c>
      <c r="NN11">
        <f>+data!NO6</f>
        <v>0</v>
      </c>
      <c r="NO11">
        <f>+data!CH6</f>
        <v>0.20131690900999993</v>
      </c>
      <c r="NP11">
        <f>+data!IN6</f>
        <v>0.20131690900999993</v>
      </c>
      <c r="NQ11">
        <f>+data!NP6</f>
        <v>9.6525020260000011E-2</v>
      </c>
      <c r="NR11">
        <f>+data!NQ6</f>
        <v>0.10479188875000001</v>
      </c>
      <c r="NS11">
        <f>+data!CI6</f>
        <v>4.9428204442699926</v>
      </c>
      <c r="NT11">
        <f>+data!IO6</f>
        <v>0</v>
      </c>
      <c r="NU11">
        <f>+data!NR6</f>
        <v>0</v>
      </c>
      <c r="NV11">
        <f>+data!IP6</f>
        <v>1.7962317289800005</v>
      </c>
      <c r="NW11">
        <f>+data!NS6</f>
        <v>1.7962317289800005</v>
      </c>
      <c r="NX11">
        <f>+data!IQ6</f>
        <v>1.639183837740001</v>
      </c>
      <c r="NY11">
        <f>+data!NT6</f>
        <v>1.639183837740001</v>
      </c>
      <c r="NZ11">
        <f>+data!IR6</f>
        <v>1.5074025210700002</v>
      </c>
      <c r="OA11">
        <f>+data!NU6</f>
        <v>1.5074025210700002</v>
      </c>
      <c r="OB11">
        <f>+data!CJ6</f>
        <v>0.17658523381000013</v>
      </c>
      <c r="OC11">
        <f>+data!IS6</f>
        <v>0.17658523381000013</v>
      </c>
      <c r="OD11">
        <f>+data!NV6</f>
        <v>0.17658523381000013</v>
      </c>
      <c r="OE11">
        <f>+data!CK6</f>
        <v>0.36179299379000041</v>
      </c>
      <c r="OF11">
        <f>+data!IT6</f>
        <v>0.36179299379000041</v>
      </c>
      <c r="OG11">
        <f>+data!NW6</f>
        <v>0.12883889187</v>
      </c>
    </row>
    <row r="12" spans="7:397">
      <c r="J12" s="4">
        <f t="shared" si="340"/>
        <v>9.4202430492520167E-2</v>
      </c>
      <c r="K12" t="s">
        <v>392</v>
      </c>
      <c r="AC12">
        <f>+data!S7</f>
        <v>106.28974050424999</v>
      </c>
      <c r="AD12">
        <f>+data!T7</f>
        <v>13.263134237819983</v>
      </c>
      <c r="AE12">
        <f>+data!AE7</f>
        <v>11.895639633350042</v>
      </c>
      <c r="AF12">
        <f>+data!BS7</f>
        <v>0</v>
      </c>
      <c r="AG12">
        <f>+data!FU7</f>
        <v>0</v>
      </c>
      <c r="AH12">
        <f>+data!FW7</f>
        <v>0</v>
      </c>
      <c r="AI12">
        <f>+data!FX7</f>
        <v>0</v>
      </c>
      <c r="AJ12">
        <f>+data!FY7</f>
        <v>0</v>
      </c>
      <c r="AK12">
        <f>+data!FZ7</f>
        <v>0</v>
      </c>
      <c r="AL12">
        <f>+data!GA7</f>
        <v>0</v>
      </c>
      <c r="AM12">
        <f>+data!BU7</f>
        <v>0</v>
      </c>
      <c r="AN12">
        <f>+data!GC7</f>
        <v>0</v>
      </c>
      <c r="AO12">
        <f>+data!GD7</f>
        <v>0</v>
      </c>
      <c r="AP12">
        <f>+data!GE7</f>
        <v>0</v>
      </c>
      <c r="AQ12">
        <f>+data!GF7</f>
        <v>0</v>
      </c>
      <c r="AR12">
        <f>+data!GG7</f>
        <v>0</v>
      </c>
      <c r="AS12">
        <f>+data!GH7</f>
        <v>0</v>
      </c>
      <c r="AT12">
        <f>+data!GI7</f>
        <v>0</v>
      </c>
      <c r="AU12">
        <f>+data!BV7</f>
        <v>0</v>
      </c>
      <c r="AV12">
        <f>+data!GJ7</f>
        <v>0</v>
      </c>
      <c r="AW12">
        <f>+data!GK7</f>
        <v>0</v>
      </c>
      <c r="AX12">
        <f>+data!GL7</f>
        <v>0</v>
      </c>
      <c r="AY12">
        <f>+data!GM7</f>
        <v>0</v>
      </c>
      <c r="AZ12">
        <f>+data!BW7</f>
        <v>0</v>
      </c>
      <c r="BA12">
        <f>+data!GN7</f>
        <v>0</v>
      </c>
      <c r="BB12">
        <f>+data!GO7</f>
        <v>0</v>
      </c>
      <c r="BC12">
        <f>+data!GP7</f>
        <v>0</v>
      </c>
      <c r="BD12">
        <f>+data!GQ7</f>
        <v>0</v>
      </c>
      <c r="BE12">
        <f>+data!GR7</f>
        <v>0</v>
      </c>
      <c r="BF12">
        <f>+data!GS7</f>
        <v>0</v>
      </c>
      <c r="BG12">
        <f>+data!GT7</f>
        <v>0</v>
      </c>
      <c r="BH12">
        <f>+data!BX7</f>
        <v>0</v>
      </c>
      <c r="BI12">
        <f>+data!GU7</f>
        <v>0</v>
      </c>
      <c r="BJ12">
        <f>+data!GV7</f>
        <v>0</v>
      </c>
      <c r="BK12">
        <f>+data!GW7</f>
        <v>0</v>
      </c>
      <c r="BL12">
        <f>+data!GX7</f>
        <v>0</v>
      </c>
      <c r="BM12">
        <f>+data!GY7</f>
        <v>0</v>
      </c>
      <c r="BN12">
        <f>+data!BY7</f>
        <v>0</v>
      </c>
      <c r="BO12">
        <f>+data!GZ7</f>
        <v>0</v>
      </c>
      <c r="BP12">
        <f>+data!HA7</f>
        <v>0</v>
      </c>
      <c r="BQ12">
        <f>+data!HB7</f>
        <v>0</v>
      </c>
      <c r="BR12">
        <f>+data!HC7</f>
        <v>0</v>
      </c>
      <c r="BS12">
        <f>+data!HD7</f>
        <v>0</v>
      </c>
      <c r="BT12">
        <f>+data!HE7</f>
        <v>0</v>
      </c>
      <c r="BU12">
        <f>+data!HF7</f>
        <v>0</v>
      </c>
      <c r="BV12">
        <f>+data!HG7</f>
        <v>0</v>
      </c>
      <c r="BW12">
        <f>+data!HH7</f>
        <v>0</v>
      </c>
      <c r="BX12">
        <f>+data!BZ7</f>
        <v>0</v>
      </c>
      <c r="BY12">
        <f>+data!HI7</f>
        <v>0</v>
      </c>
      <c r="BZ12">
        <f>+data!HJ7</f>
        <v>0</v>
      </c>
      <c r="CA12">
        <f>+data!HK7</f>
        <v>0</v>
      </c>
      <c r="CB12">
        <f>+data!HL7</f>
        <v>0</v>
      </c>
      <c r="CC12">
        <f>+data!HM7</f>
        <v>0</v>
      </c>
      <c r="CD12">
        <f>+data!HN7</f>
        <v>0</v>
      </c>
      <c r="CE12">
        <f>+data!HO7</f>
        <v>0</v>
      </c>
      <c r="CF12">
        <f>+data!HP7</f>
        <v>0</v>
      </c>
      <c r="CG12">
        <f>+data!CA7</f>
        <v>0</v>
      </c>
      <c r="CH12">
        <f>+data!HQ7</f>
        <v>0</v>
      </c>
      <c r="CI12">
        <f>+data!HR7</f>
        <v>0</v>
      </c>
      <c r="CJ12">
        <f>+data!HS7</f>
        <v>0</v>
      </c>
      <c r="CK12">
        <f>+data!HT7</f>
        <v>0</v>
      </c>
      <c r="CL12">
        <f>+data!HU7</f>
        <v>0</v>
      </c>
      <c r="CM12">
        <f>+data!HV7</f>
        <v>0</v>
      </c>
      <c r="CN12">
        <f>+data!CB7</f>
        <v>0</v>
      </c>
      <c r="CO12">
        <f>+data!HW7</f>
        <v>0</v>
      </c>
      <c r="CP12">
        <f>+data!HX7</f>
        <v>0</v>
      </c>
      <c r="CQ12">
        <f>+data!HY7</f>
        <v>0</v>
      </c>
      <c r="CR12">
        <f>+data!HZ7</f>
        <v>0</v>
      </c>
      <c r="CS12">
        <f>+data!AG7</f>
        <v>1.367495135120006</v>
      </c>
      <c r="CT12">
        <f>+data!CD7</f>
        <v>0</v>
      </c>
      <c r="CU12">
        <f>+data!IB7</f>
        <v>0</v>
      </c>
      <c r="CV12">
        <f>+data!ID7</f>
        <v>0</v>
      </c>
      <c r="CW12">
        <f>+data!IF7</f>
        <v>0</v>
      </c>
      <c r="CX12">
        <f>+data!CF7</f>
        <v>0</v>
      </c>
      <c r="CY12">
        <f>+data!IH7</f>
        <v>0</v>
      </c>
      <c r="CZ12">
        <f>+data!II7</f>
        <v>0</v>
      </c>
      <c r="DA12">
        <f>+data!IJ7</f>
        <v>0</v>
      </c>
      <c r="DB12">
        <f>+data!IK7</f>
        <v>0</v>
      </c>
      <c r="DC12">
        <f>+data!U7</f>
        <v>1.8618187917599998</v>
      </c>
      <c r="DD12">
        <f>+data!AH7</f>
        <v>0.99500093690000391</v>
      </c>
      <c r="DE12">
        <f>+data!CL7</f>
        <v>0</v>
      </c>
      <c r="DF12">
        <f>+data!IU7</f>
        <v>0</v>
      </c>
      <c r="DG12">
        <f>+data!CM7</f>
        <v>0</v>
      </c>
      <c r="DH12">
        <f>+data!IV7</f>
        <v>0</v>
      </c>
      <c r="DI12">
        <f>+data!IW7</f>
        <v>0</v>
      </c>
      <c r="DJ12">
        <f>+data!CN7</f>
        <v>0</v>
      </c>
      <c r="DK12">
        <f>+data!IX7</f>
        <v>0</v>
      </c>
      <c r="DL12">
        <f>+data!AI7</f>
        <v>0.86681641935999965</v>
      </c>
      <c r="DM12">
        <f>+data!CO7</f>
        <v>0</v>
      </c>
      <c r="DN12">
        <f>+data!IY7</f>
        <v>0</v>
      </c>
      <c r="DO12">
        <f>+data!IZ7</f>
        <v>0</v>
      </c>
      <c r="DP12">
        <f>+data!JA7</f>
        <v>0</v>
      </c>
      <c r="DQ12">
        <f>+data!AJ7</f>
        <v>0</v>
      </c>
      <c r="DR12">
        <f>+data!CP7</f>
        <v>0</v>
      </c>
      <c r="DS12">
        <f>+data!V7</f>
        <v>4.831013500199985</v>
      </c>
      <c r="DT12">
        <f>+data!AK7</f>
        <v>3.8386585101499939</v>
      </c>
      <c r="DU12">
        <f>+data!CQ7</f>
        <v>8.5341521510000073E-2</v>
      </c>
      <c r="DV12">
        <f>+data!JB7</f>
        <v>8.5341521510000073E-2</v>
      </c>
      <c r="DW12">
        <f>+data!CR7</f>
        <v>3.5339712242800045</v>
      </c>
      <c r="DX12">
        <f>+data!JC7</f>
        <v>0.97941805267999971</v>
      </c>
      <c r="DY12">
        <f>+data!JD7</f>
        <v>2.0188188741699986</v>
      </c>
      <c r="DZ12">
        <f>+data!JE7</f>
        <v>0.39645586156000034</v>
      </c>
      <c r="EA12">
        <f>+data!CS7</f>
        <v>0.11784005925000006</v>
      </c>
      <c r="EB12">
        <f>+data!JF7</f>
        <v>0.11784005925000006</v>
      </c>
      <c r="EC12">
        <f>+data!CT7</f>
        <v>0.10150523940999981</v>
      </c>
      <c r="ED12">
        <f>+data!JG7</f>
        <v>0.10150523940999981</v>
      </c>
      <c r="EE12">
        <f>+data!AL7</f>
        <v>0.99235178854000006</v>
      </c>
      <c r="EF12">
        <f>+data!CU7</f>
        <v>0.94342113413999917</v>
      </c>
      <c r="EG12">
        <f>+data!JH7</f>
        <v>0.2809389656299997</v>
      </c>
      <c r="EH12">
        <f>+data!JI7</f>
        <v>0.50990551632999914</v>
      </c>
      <c r="EI12">
        <f>+data!JJ7</f>
        <v>0.15257129784000001</v>
      </c>
      <c r="EJ12">
        <f>+data!CV7</f>
        <v>2.787344420999998E-2</v>
      </c>
      <c r="EK12">
        <f>+data!JK7</f>
        <v>2.787344420999998E-2</v>
      </c>
      <c r="EL12">
        <f>+data!W7</f>
        <v>33.230150277699998</v>
      </c>
      <c r="EM12">
        <f>+data!AM7</f>
        <v>9.9637942721099968</v>
      </c>
      <c r="EN12">
        <f>+data!CW7</f>
        <v>9.8104852430599987</v>
      </c>
      <c r="EO12">
        <f>+data!JL7</f>
        <v>9.8104852430599987</v>
      </c>
      <c r="EP12">
        <f>+data!CX7</f>
        <v>0.15330885133</v>
      </c>
      <c r="EQ12">
        <f>+data!JM7</f>
        <v>0.15330885133</v>
      </c>
      <c r="ER12">
        <f>+data!AN7</f>
        <v>13.232926776039976</v>
      </c>
      <c r="ES12">
        <f>+data!CY7</f>
        <v>12.394438041999958</v>
      </c>
      <c r="ET12">
        <f>+data!JN7</f>
        <v>12.394438041999958</v>
      </c>
      <c r="EU12">
        <f>+data!CZ7</f>
        <v>0.83848840302000027</v>
      </c>
      <c r="EV12">
        <f>+data!JO7</f>
        <v>0.58568945858999988</v>
      </c>
      <c r="EW12">
        <f>+data!JP7</f>
        <v>0.25279894443000012</v>
      </c>
      <c r="EX12">
        <f>+data!AO7</f>
        <v>0.89139789505000044</v>
      </c>
      <c r="EY12">
        <f>+data!DA7</f>
        <v>0.52853611621000041</v>
      </c>
      <c r="EZ12">
        <f>+data!JQ7</f>
        <v>0.52853611621000041</v>
      </c>
      <c r="FA12">
        <f>+data!DB7</f>
        <v>0.36286203779000004</v>
      </c>
      <c r="FB12">
        <f>+data!JR7</f>
        <v>0.36286203779000004</v>
      </c>
      <c r="FC12">
        <f>+data!AP7</f>
        <v>0</v>
      </c>
      <c r="FD12">
        <f>+data!DC7</f>
        <v>0</v>
      </c>
      <c r="FE12">
        <f>+data!JS7</f>
        <v>0</v>
      </c>
      <c r="FF12">
        <f>+data!DD7</f>
        <v>0</v>
      </c>
      <c r="FG12">
        <f>+data!JT7</f>
        <v>0</v>
      </c>
      <c r="FH12">
        <f>+data!DE7</f>
        <v>0</v>
      </c>
      <c r="FI12">
        <f>+data!JU7</f>
        <v>0</v>
      </c>
      <c r="FJ12">
        <f>+data!DF7</f>
        <v>0</v>
      </c>
      <c r="FK12">
        <f>+data!JV7</f>
        <v>0</v>
      </c>
      <c r="FL12">
        <f>+data!AQ7</f>
        <v>6.4282657447500231</v>
      </c>
      <c r="FM12">
        <f>+data!DG7</f>
        <v>2.6411979859999923</v>
      </c>
      <c r="FN12">
        <f>+data!JW7</f>
        <v>2.6411979859999923</v>
      </c>
      <c r="FO12">
        <f>+data!DH7</f>
        <v>1.6921542661100009</v>
      </c>
      <c r="FP12">
        <f>+data!JX7</f>
        <v>0</v>
      </c>
      <c r="FQ12">
        <f>+data!JY7</f>
        <v>0</v>
      </c>
      <c r="FR12">
        <f>+data!DI7</f>
        <v>1.3883364861500005</v>
      </c>
      <c r="FS12">
        <f>+data!JZ7</f>
        <v>1.3883364861500005</v>
      </c>
      <c r="FT12">
        <f>+data!DJ7</f>
        <v>0.13983765920000005</v>
      </c>
      <c r="FU12">
        <f>+data!KA7</f>
        <v>0.13983765920000005</v>
      </c>
      <c r="FV12">
        <f>+data!DK7</f>
        <v>0.56672905054000045</v>
      </c>
      <c r="FW12">
        <f>+data!KB7</f>
        <v>0.56672905054000045</v>
      </c>
      <c r="FX12">
        <f>+data!X7</f>
        <v>4.8148314373500005</v>
      </c>
      <c r="FY12">
        <f>+data!AR7</f>
        <v>1.74190843197</v>
      </c>
      <c r="FZ12">
        <f>+data!DL7</f>
        <v>1.5111913329599993</v>
      </c>
      <c r="GA12">
        <f>+data!KC7</f>
        <v>1.5111913329599993</v>
      </c>
      <c r="GB12">
        <f>+data!DM7</f>
        <v>0.19289350765000002</v>
      </c>
      <c r="GC12">
        <f>+data!KD7</f>
        <v>0.19289350765000002</v>
      </c>
      <c r="GD12">
        <f>+data!DN7</f>
        <v>3.7823492030000017E-2</v>
      </c>
      <c r="GE12">
        <f>+data!KE7</f>
        <v>3.7823492030000017E-2</v>
      </c>
      <c r="GF12">
        <f>+data!AS7</f>
        <v>0.41191048373000078</v>
      </c>
      <c r="GG12">
        <f>+data!DO7</f>
        <v>0.41191048373000078</v>
      </c>
      <c r="GH12">
        <f>+data!KF7</f>
        <v>0.41191048373000078</v>
      </c>
      <c r="GI12">
        <f>+data!AT7</f>
        <v>0.96144525568999994</v>
      </c>
      <c r="GJ12">
        <f>+data!DP7</f>
        <v>0.68583093309999976</v>
      </c>
      <c r="GK12">
        <f>+data!KG7</f>
        <v>0.16092731990000012</v>
      </c>
      <c r="GL12">
        <f>+data!KH7</f>
        <v>0.24670129346000014</v>
      </c>
      <c r="GM12">
        <f>+data!KI7</f>
        <v>0</v>
      </c>
      <c r="GN12">
        <f>+data!KJ7</f>
        <v>0</v>
      </c>
      <c r="GO12">
        <f>+data!KK7</f>
        <v>0</v>
      </c>
      <c r="GP12">
        <f>+data!KL7</f>
        <v>0</v>
      </c>
      <c r="GQ12">
        <f>+data!KM7</f>
        <v>0.26736097921999996</v>
      </c>
      <c r="GR12">
        <f>+data!DQ7</f>
        <v>0.22514302777000017</v>
      </c>
      <c r="GS12">
        <f>+data!KN7</f>
        <v>0.22514302777000017</v>
      </c>
      <c r="GT12">
        <f>+data!DR7</f>
        <v>5.0470198170000001E-2</v>
      </c>
      <c r="GU12">
        <f>+data!KO7</f>
        <v>5.0470198170000001E-2</v>
      </c>
      <c r="GV12">
        <f>+data!AU7</f>
        <v>0.37044465195999993</v>
      </c>
      <c r="GW12">
        <f>+data!DS7</f>
        <v>1.0954603260000001E-2</v>
      </c>
      <c r="GX12">
        <f>+data!KP7</f>
        <v>0</v>
      </c>
      <c r="GY12">
        <f>+data!KQ7</f>
        <v>0</v>
      </c>
      <c r="GZ12">
        <f>+data!KR7</f>
        <v>0</v>
      </c>
      <c r="HA12">
        <f>+data!KS7</f>
        <v>1.0954603260000001E-2</v>
      </c>
      <c r="HB12">
        <f>+data!AV7</f>
        <v>0.61104959056000008</v>
      </c>
      <c r="HC12">
        <f>+data!DT7</f>
        <v>0</v>
      </c>
      <c r="HD12">
        <f>+data!KT7</f>
        <v>0</v>
      </c>
      <c r="HE12">
        <f>+data!DU7</f>
        <v>0</v>
      </c>
      <c r="HF12">
        <f>+data!KU7</f>
        <v>0</v>
      </c>
      <c r="HG12">
        <f>+data!AW7</f>
        <v>0.60425005823999878</v>
      </c>
      <c r="HH12">
        <f>+data!DV7</f>
        <v>0.42027733894999825</v>
      </c>
      <c r="HI12">
        <f>+data!KV7</f>
        <v>0</v>
      </c>
      <c r="HJ12">
        <f>+data!KW7</f>
        <v>0</v>
      </c>
      <c r="HK12">
        <f>+data!DW7</f>
        <v>0.18397351214000016</v>
      </c>
      <c r="HL12">
        <f>+data!KX7</f>
        <v>0</v>
      </c>
      <c r="HM12">
        <f>+data!KY7</f>
        <v>0</v>
      </c>
      <c r="HN12">
        <f>+data!Y7</f>
        <v>3.3130030998600066</v>
      </c>
      <c r="HO12">
        <f>+data!AX7</f>
        <v>2.0297917682699977</v>
      </c>
      <c r="HP12">
        <f>+data!DX7</f>
        <v>0.88804175855000278</v>
      </c>
      <c r="HQ12">
        <f>+data!KZ7</f>
        <v>0.88804175855000278</v>
      </c>
      <c r="HR12">
        <f>+data!DY7</f>
        <v>0.25738748862999988</v>
      </c>
      <c r="HS12">
        <f>+data!LA7</f>
        <v>0.25738748862999988</v>
      </c>
      <c r="HT12">
        <f>+data!DZ7</f>
        <v>0.88435946824000045</v>
      </c>
      <c r="HU12">
        <f>+data!LB7</f>
        <v>0.88435946824000045</v>
      </c>
      <c r="HV12">
        <f>+data!AY7</f>
        <v>1.1302581779999987</v>
      </c>
      <c r="HW12">
        <f>+data!EA7</f>
        <v>0.50015946609999995</v>
      </c>
      <c r="HX12">
        <f>+data!LC7</f>
        <v>0.50015946609999995</v>
      </c>
      <c r="HY12">
        <f>+data!EB7</f>
        <v>0.46419971334999993</v>
      </c>
      <c r="HZ12">
        <f>+data!LD7</f>
        <v>0.46419971334999993</v>
      </c>
      <c r="IA12">
        <f>+data!EC7</f>
        <v>0.16588139544999983</v>
      </c>
      <c r="IB12">
        <f>+data!LE7</f>
        <v>0</v>
      </c>
      <c r="IC12">
        <f>+data!LF7</f>
        <v>0</v>
      </c>
      <c r="ID12">
        <f>+data!LG7</f>
        <v>0.16588139544999983</v>
      </c>
      <c r="IE12">
        <f>+data!AZ7</f>
        <v>0.14311080876999999</v>
      </c>
      <c r="IF12">
        <f>+data!Z7</f>
        <v>14.611760050750005</v>
      </c>
      <c r="IG12">
        <f>+data!BA7</f>
        <v>3.9791403417200004</v>
      </c>
      <c r="IH12">
        <f>+data!ED7</f>
        <v>3.2579780158200009</v>
      </c>
      <c r="II12">
        <f>+data!LH7</f>
        <v>1.5365852077699995</v>
      </c>
      <c r="IJ12">
        <f>+data!LI7</f>
        <v>1.7213928080500003</v>
      </c>
      <c r="IK12">
        <f>+data!EE7</f>
        <v>9.1157462549999999E-2</v>
      </c>
      <c r="IL12">
        <f>+data!LJ7</f>
        <v>9.1157462549999999E-2</v>
      </c>
      <c r="IM12">
        <f>+data!EF7</f>
        <v>0.15436393645999996</v>
      </c>
      <c r="IN12">
        <f>+data!LK7</f>
        <v>0.15436393645999996</v>
      </c>
      <c r="IO12">
        <f>+data!EG7</f>
        <v>2.6771283000000002E-4</v>
      </c>
      <c r="IP12">
        <f>+data!LL7</f>
        <v>2.6771283000000002E-4</v>
      </c>
      <c r="IQ12">
        <f>+data!BB7</f>
        <v>9.8558164461100155</v>
      </c>
      <c r="IR12">
        <f>+data!EH7</f>
        <v>0.76374106918999984</v>
      </c>
      <c r="IS12">
        <f>+data!LM7</f>
        <v>0.76374106918999984</v>
      </c>
      <c r="IT12">
        <f>+data!EI7</f>
        <v>4.8987235153400093</v>
      </c>
      <c r="IU12">
        <f>+data!LN7</f>
        <v>4.8987235153400093</v>
      </c>
      <c r="IV12">
        <f>+data!EJ7</f>
        <v>1.6340199295500026</v>
      </c>
      <c r="IW12">
        <f>+data!LO7</f>
        <v>1.6340199295500026</v>
      </c>
      <c r="IX12">
        <f>+data!EK7</f>
        <v>2.5593387472800009</v>
      </c>
      <c r="IY12">
        <f>+data!LP7</f>
        <v>2.5593387472800009</v>
      </c>
      <c r="IZ12">
        <f>+data!BC7</f>
        <v>1.4467261493900034</v>
      </c>
      <c r="JA12">
        <f>+data!EL7</f>
        <v>0</v>
      </c>
      <c r="JB12">
        <f>+data!LQ7</f>
        <v>0</v>
      </c>
      <c r="JC12">
        <f>+data!EM7</f>
        <v>0</v>
      </c>
      <c r="JD12">
        <f>+data!LR7</f>
        <v>0</v>
      </c>
      <c r="JE12">
        <f>+data!EN7</f>
        <v>0.31059150572000016</v>
      </c>
      <c r="JF12">
        <f>+data!LS7</f>
        <v>0.31059150572000016</v>
      </c>
      <c r="JG12">
        <f>+data!EO7</f>
        <v>0</v>
      </c>
      <c r="JH12">
        <f>+data!LT7</f>
        <v>0</v>
      </c>
      <c r="JI12">
        <f>+data!EP7</f>
        <v>0</v>
      </c>
      <c r="JJ12">
        <f>+data!LU7</f>
        <v>0</v>
      </c>
      <c r="JK12">
        <f>+data!EQ7</f>
        <v>0</v>
      </c>
      <c r="JL12">
        <f>+data!LV7</f>
        <v>0</v>
      </c>
      <c r="JM12">
        <f>+data!AA7</f>
        <v>3.1038929869599876</v>
      </c>
      <c r="JN12">
        <f>+data!BD7</f>
        <v>0.24922788819000002</v>
      </c>
      <c r="JO12">
        <f>+data!ER7</f>
        <v>0.24922788819000002</v>
      </c>
      <c r="JP12">
        <f>+data!LW7</f>
        <v>0</v>
      </c>
      <c r="JQ12">
        <f>+data!BE7</f>
        <v>0.16739949804999996</v>
      </c>
      <c r="JR12">
        <f>+data!ES7</f>
        <v>0.16739949804999996</v>
      </c>
      <c r="JS12">
        <f>+data!LX7</f>
        <v>0.16739949804999996</v>
      </c>
      <c r="JT12">
        <f>+data!BF7</f>
        <v>2.6872683429500004</v>
      </c>
      <c r="JU12">
        <f>+data!ET7</f>
        <v>2.6872683429500004</v>
      </c>
      <c r="JV12">
        <f>+data!LY7</f>
        <v>2.6872683429500004</v>
      </c>
      <c r="JW12">
        <f>+data!AB7</f>
        <v>11.495944726890009</v>
      </c>
      <c r="JX12">
        <f>+data!BG7</f>
        <v>1.7049960127100001</v>
      </c>
      <c r="JY12">
        <f>+data!EU7</f>
        <v>0.57232516289000002</v>
      </c>
      <c r="JZ12">
        <f>+data!LZ7</f>
        <v>0.14657870984999996</v>
      </c>
      <c r="KA12">
        <f>+data!MA7</f>
        <v>0.42574618696999988</v>
      </c>
      <c r="KB12">
        <f>+data!EV7</f>
        <v>0.15742025796999998</v>
      </c>
      <c r="KC12">
        <f>+data!MB7</f>
        <v>0.15742025796999998</v>
      </c>
      <c r="KD12">
        <f>+data!MC7</f>
        <v>0</v>
      </c>
      <c r="KE12">
        <f>+data!EW7</f>
        <v>0.6006103992099987</v>
      </c>
      <c r="KF12">
        <f>+data!MD7</f>
        <v>0.6006103992099987</v>
      </c>
      <c r="KG12">
        <f>+data!EX7</f>
        <v>0.33223278003999968</v>
      </c>
      <c r="KH12">
        <f>+data!ME7</f>
        <v>0.33223278003999968</v>
      </c>
      <c r="KI12">
        <f>+data!EY7</f>
        <v>4.240497454999996E-2</v>
      </c>
      <c r="KJ12">
        <f>+data!MF7</f>
        <v>4.240497454999996E-2</v>
      </c>
      <c r="KK12">
        <f>+data!BH7</f>
        <v>0.12344957640000001</v>
      </c>
      <c r="KL12">
        <f>+data!EZ7</f>
        <v>9.6486043209999955E-2</v>
      </c>
      <c r="KM12">
        <f>+data!MG7</f>
        <v>9.6486043209999955E-2</v>
      </c>
      <c r="KN12">
        <f>+data!FA7</f>
        <v>0</v>
      </c>
      <c r="KO12">
        <f>+data!MH7</f>
        <v>0</v>
      </c>
      <c r="KP12">
        <f>+data!MI7</f>
        <v>0</v>
      </c>
      <c r="KQ12">
        <f>+data!FB7</f>
        <v>2.6963743389999996E-2</v>
      </c>
      <c r="KR12">
        <f>+data!MJ7</f>
        <v>2.6963743389999996E-2</v>
      </c>
      <c r="KS12">
        <f>+data!BI7</f>
        <v>2.0866878914599942</v>
      </c>
      <c r="KT12">
        <f>+data!FC7</f>
        <v>0.41658781071999995</v>
      </c>
      <c r="KU12">
        <f>+data!MK7</f>
        <v>0.41658781071999995</v>
      </c>
      <c r="KV12">
        <f>+data!FD7</f>
        <v>0.24866641012999977</v>
      </c>
      <c r="KW12">
        <f>+data!ML7</f>
        <v>0.24866641012999977</v>
      </c>
      <c r="KX12">
        <f>+data!FE7</f>
        <v>0.74723020829999975</v>
      </c>
      <c r="KY12">
        <f>+data!MM7</f>
        <v>0.74723020829999975</v>
      </c>
      <c r="KZ12">
        <f>+data!FF7</f>
        <v>0.67420430989000091</v>
      </c>
      <c r="LA12">
        <f>+data!MN7</f>
        <v>0.67420430989000091</v>
      </c>
      <c r="LB12">
        <f>+data!FG7</f>
        <v>0</v>
      </c>
      <c r="LC12">
        <f>+data!MO7</f>
        <v>0</v>
      </c>
      <c r="LD12">
        <f>+data!BJ7</f>
        <v>2.6317713078299914</v>
      </c>
      <c r="LE12">
        <f>+data!FH7</f>
        <v>0.87323895228000048</v>
      </c>
      <c r="LF12">
        <f>+data!MP7</f>
        <v>0.87323895228000048</v>
      </c>
      <c r="LG12">
        <f>+data!FI7</f>
        <v>1.093885600270001</v>
      </c>
      <c r="LH12">
        <f>+data!MQ7</f>
        <v>0</v>
      </c>
      <c r="LI12">
        <f>+data!MR7</f>
        <v>0</v>
      </c>
      <c r="LJ12">
        <f>+data!MS7</f>
        <v>0.83323019673000498</v>
      </c>
      <c r="LK12">
        <f>+data!MT7</f>
        <v>0.26067149369000042</v>
      </c>
      <c r="LL12">
        <f>+data!FJ7</f>
        <v>0</v>
      </c>
      <c r="LM12">
        <f>+data!MU7</f>
        <v>0</v>
      </c>
      <c r="LN12">
        <f>+data!BK7</f>
        <v>1.9405716552600021</v>
      </c>
      <c r="LO12">
        <f>+data!FK7</f>
        <v>0.52875772365000107</v>
      </c>
      <c r="LP12">
        <f>+data!MV7</f>
        <v>0.52875772365000107</v>
      </c>
      <c r="LQ12">
        <f>+data!FL7</f>
        <v>0.77005261762999899</v>
      </c>
      <c r="LR12">
        <f>+data!MW7</f>
        <v>0.77005261762999899</v>
      </c>
      <c r="LS12">
        <f>+data!FM7</f>
        <v>0.64176489776999901</v>
      </c>
      <c r="LT12">
        <f>+data!MX7</f>
        <v>0.64176489776999901</v>
      </c>
      <c r="LU12">
        <f>+data!FN7</f>
        <v>0</v>
      </c>
      <c r="LV12">
        <f>+data!MY7</f>
        <v>0</v>
      </c>
      <c r="LW12">
        <f>+data!BL7</f>
        <v>3.0084787533000021</v>
      </c>
      <c r="LX12">
        <f>+data!AC7</f>
        <v>1.0018725171500003</v>
      </c>
      <c r="LY12">
        <f>+data!BM7</f>
        <v>0</v>
      </c>
      <c r="LZ12">
        <f>+data!FO7</f>
        <v>0</v>
      </c>
      <c r="MA12">
        <f>+data!MZ7</f>
        <v>0</v>
      </c>
      <c r="MB12">
        <f>+data!BN7</f>
        <v>0</v>
      </c>
      <c r="MC12">
        <f>+data!FP7</f>
        <v>0</v>
      </c>
      <c r="MD12">
        <f>+data!NA7</f>
        <v>0</v>
      </c>
      <c r="ME12">
        <f>+data!BO7</f>
        <v>0</v>
      </c>
      <c r="MF12">
        <f>+data!FQ7</f>
        <v>0</v>
      </c>
      <c r="MG12">
        <f>+data!NB7</f>
        <v>0</v>
      </c>
      <c r="MH12">
        <f>+data!BP7</f>
        <v>0</v>
      </c>
      <c r="MI12">
        <f>+data!FR7</f>
        <v>0</v>
      </c>
      <c r="MJ12">
        <f>+data!NC7</f>
        <v>0</v>
      </c>
      <c r="MK12">
        <f>+data!BQ7</f>
        <v>0.21121062011000016</v>
      </c>
      <c r="ML12">
        <f>+data!FS7</f>
        <v>0.21121062011000016</v>
      </c>
      <c r="MM12">
        <f>+data!ND7</f>
        <v>0.21121062011000016</v>
      </c>
      <c r="MN12">
        <f>+data!AD7</f>
        <v>4.8555496800000073</v>
      </c>
      <c r="MO12">
        <f>+data!BR7</f>
        <v>3.8711256033300017</v>
      </c>
      <c r="MP12">
        <f>+data!FT7</f>
        <v>3.4766382099099991</v>
      </c>
      <c r="MQ12">
        <f>+data!NE7</f>
        <v>0</v>
      </c>
      <c r="MR12">
        <f>+data!NF7</f>
        <v>0</v>
      </c>
      <c r="MS12">
        <f>+data!FV7</f>
        <v>0.3944878535399996</v>
      </c>
      <c r="MT12">
        <f>+data!NG7</f>
        <v>0.3944878535399996</v>
      </c>
      <c r="MU12">
        <f>+data!BT7</f>
        <v>0.98442197298999923</v>
      </c>
      <c r="MV12">
        <f>+data!GB7</f>
        <v>0.98442197298999923</v>
      </c>
      <c r="MW12">
        <f>+data!NH7</f>
        <v>0.98442197298999923</v>
      </c>
      <c r="MX12">
        <f>+data!AF7</f>
        <v>9.9067678917000297</v>
      </c>
      <c r="MY12">
        <f>+data!CC7</f>
        <v>2.5334110293999981</v>
      </c>
      <c r="MZ12">
        <f>+data!IA7</f>
        <v>1.1369864172999979</v>
      </c>
      <c r="NA12">
        <f>+data!NI7</f>
        <v>1.1369864172999979</v>
      </c>
      <c r="NB12">
        <f>+data!IC7</f>
        <v>4.7964903119999999E-2</v>
      </c>
      <c r="NC12">
        <f>+data!NJ7</f>
        <v>4.7964903119999999E-2</v>
      </c>
      <c r="ND12">
        <f>+data!IE7</f>
        <v>1.3484542122899987</v>
      </c>
      <c r="NE12">
        <f>+data!NK7</f>
        <v>1.3484542122899987</v>
      </c>
      <c r="NF12">
        <f>+data!CE7</f>
        <v>0</v>
      </c>
      <c r="NG12">
        <f>+data!IG7</f>
        <v>0</v>
      </c>
      <c r="NH12">
        <f>+data!NL7</f>
        <v>0</v>
      </c>
      <c r="NI12">
        <f>+data!CG7</f>
        <v>0.53588530644000087</v>
      </c>
      <c r="NJ12">
        <f>+data!IL7</f>
        <v>0.31848299725999968</v>
      </c>
      <c r="NK12">
        <f>+data!NM7</f>
        <v>0.31848299725999968</v>
      </c>
      <c r="NL12">
        <f>+data!IM7</f>
        <v>0.21740090820000005</v>
      </c>
      <c r="NM12">
        <f>+data!NN7</f>
        <v>0</v>
      </c>
      <c r="NN12">
        <f>+data!NO7</f>
        <v>0</v>
      </c>
      <c r="NO12">
        <f>+data!CH7</f>
        <v>0.17416348319000002</v>
      </c>
      <c r="NP12">
        <f>+data!IN7</f>
        <v>0.17416348319000002</v>
      </c>
      <c r="NQ12">
        <f>+data!NP7</f>
        <v>4.2921860749999992E-2</v>
      </c>
      <c r="NR12">
        <f>+data!NQ7</f>
        <v>0.13124162244000004</v>
      </c>
      <c r="NS12">
        <f>+data!CI7</f>
        <v>6.0016181887799958</v>
      </c>
      <c r="NT12">
        <f>+data!IO7</f>
        <v>0</v>
      </c>
      <c r="NU12">
        <f>+data!NR7</f>
        <v>0</v>
      </c>
      <c r="NV12">
        <f>+data!IP7</f>
        <v>2.4246185144099979</v>
      </c>
      <c r="NW12">
        <f>+data!NS7</f>
        <v>2.4246185144099979</v>
      </c>
      <c r="NX12">
        <f>+data!IQ7</f>
        <v>1.7873679075500013</v>
      </c>
      <c r="NY12">
        <f>+data!NT7</f>
        <v>1.7873679075500013</v>
      </c>
      <c r="NZ12">
        <f>+data!IR7</f>
        <v>1.7896294447700036</v>
      </c>
      <c r="OA12">
        <f>+data!NU7</f>
        <v>1.7896294447700036</v>
      </c>
      <c r="OB12">
        <f>+data!CJ7</f>
        <v>0.26217874387000006</v>
      </c>
      <c r="OC12">
        <f>+data!IS7</f>
        <v>0.26217874387000006</v>
      </c>
      <c r="OD12">
        <f>+data!NV7</f>
        <v>0.26217874387000006</v>
      </c>
      <c r="OE12">
        <f>+data!CK7</f>
        <v>0.34570288984000069</v>
      </c>
      <c r="OF12">
        <f>+data!IT7</f>
        <v>0.34570288984000069</v>
      </c>
      <c r="OG12">
        <f>+data!NW7</f>
        <v>0.12297449070999997</v>
      </c>
    </row>
    <row r="13" spans="7:397">
      <c r="J13" s="4">
        <f t="shared" si="340"/>
        <v>0.10209747996743142</v>
      </c>
      <c r="K13" t="s">
        <v>393</v>
      </c>
      <c r="AC13">
        <f>+data!S8</f>
        <v>115.19782021694024</v>
      </c>
      <c r="AD13">
        <f>+data!T8</f>
        <v>13.747892244179942</v>
      </c>
      <c r="AE13">
        <f>+data!AE8</f>
        <v>12.320792475379939</v>
      </c>
      <c r="AF13">
        <f>+data!BS8</f>
        <v>0</v>
      </c>
      <c r="AG13">
        <f>+data!FU8</f>
        <v>0</v>
      </c>
      <c r="AH13">
        <f>+data!FW8</f>
        <v>0</v>
      </c>
      <c r="AI13">
        <f>+data!FX8</f>
        <v>0</v>
      </c>
      <c r="AJ13">
        <f>+data!FY8</f>
        <v>0</v>
      </c>
      <c r="AK13">
        <f>+data!FZ8</f>
        <v>0</v>
      </c>
      <c r="AL13">
        <f>+data!GA8</f>
        <v>0</v>
      </c>
      <c r="AM13">
        <f>+data!BU8</f>
        <v>0</v>
      </c>
      <c r="AN13">
        <f>+data!GC8</f>
        <v>0</v>
      </c>
      <c r="AO13">
        <f>+data!GD8</f>
        <v>0</v>
      </c>
      <c r="AP13">
        <f>+data!GE8</f>
        <v>0</v>
      </c>
      <c r="AQ13">
        <f>+data!GF8</f>
        <v>0</v>
      </c>
      <c r="AR13">
        <f>+data!GG8</f>
        <v>0</v>
      </c>
      <c r="AS13">
        <f>+data!GH8</f>
        <v>0</v>
      </c>
      <c r="AT13">
        <f>+data!GI8</f>
        <v>0</v>
      </c>
      <c r="AU13">
        <f>+data!BV8</f>
        <v>0</v>
      </c>
      <c r="AV13">
        <f>+data!GJ8</f>
        <v>0</v>
      </c>
      <c r="AW13">
        <f>+data!GK8</f>
        <v>0</v>
      </c>
      <c r="AX13">
        <f>+data!GL8</f>
        <v>0</v>
      </c>
      <c r="AY13">
        <f>+data!GM8</f>
        <v>0</v>
      </c>
      <c r="AZ13">
        <f>+data!BW8</f>
        <v>0</v>
      </c>
      <c r="BA13">
        <f>+data!GN8</f>
        <v>0</v>
      </c>
      <c r="BB13">
        <f>+data!GO8</f>
        <v>0</v>
      </c>
      <c r="BC13">
        <f>+data!GP8</f>
        <v>0</v>
      </c>
      <c r="BD13">
        <f>+data!GQ8</f>
        <v>0</v>
      </c>
      <c r="BE13">
        <f>+data!GR8</f>
        <v>0</v>
      </c>
      <c r="BF13">
        <f>+data!GS8</f>
        <v>0</v>
      </c>
      <c r="BG13">
        <f>+data!GT8</f>
        <v>0</v>
      </c>
      <c r="BH13">
        <f>+data!BX8</f>
        <v>0</v>
      </c>
      <c r="BI13">
        <f>+data!GU8</f>
        <v>0</v>
      </c>
      <c r="BJ13">
        <f>+data!GV8</f>
        <v>0</v>
      </c>
      <c r="BK13">
        <f>+data!GW8</f>
        <v>0</v>
      </c>
      <c r="BL13">
        <f>+data!GX8</f>
        <v>0</v>
      </c>
      <c r="BM13">
        <f>+data!GY8</f>
        <v>0</v>
      </c>
      <c r="BN13">
        <f>+data!BY8</f>
        <v>0</v>
      </c>
      <c r="BO13">
        <f>+data!GZ8</f>
        <v>0</v>
      </c>
      <c r="BP13">
        <f>+data!HA8</f>
        <v>0</v>
      </c>
      <c r="BQ13">
        <f>+data!HB8</f>
        <v>0</v>
      </c>
      <c r="BR13">
        <f>+data!HC8</f>
        <v>0</v>
      </c>
      <c r="BS13">
        <f>+data!HD8</f>
        <v>0</v>
      </c>
      <c r="BT13">
        <f>+data!HE8</f>
        <v>0</v>
      </c>
      <c r="BU13">
        <f>+data!HF8</f>
        <v>0</v>
      </c>
      <c r="BV13">
        <f>+data!HG8</f>
        <v>0</v>
      </c>
      <c r="BW13">
        <f>+data!HH8</f>
        <v>0</v>
      </c>
      <c r="BX13">
        <f>+data!BZ8</f>
        <v>0</v>
      </c>
      <c r="BY13">
        <f>+data!HI8</f>
        <v>0</v>
      </c>
      <c r="BZ13">
        <f>+data!HJ8</f>
        <v>0</v>
      </c>
      <c r="CA13">
        <f>+data!HK8</f>
        <v>0</v>
      </c>
      <c r="CB13">
        <f>+data!HL8</f>
        <v>0</v>
      </c>
      <c r="CC13">
        <f>+data!HM8</f>
        <v>0</v>
      </c>
      <c r="CD13">
        <f>+data!HN8</f>
        <v>0</v>
      </c>
      <c r="CE13">
        <f>+data!HO8</f>
        <v>0</v>
      </c>
      <c r="CF13">
        <f>+data!HP8</f>
        <v>0</v>
      </c>
      <c r="CG13">
        <f>+data!CA8</f>
        <v>0</v>
      </c>
      <c r="CH13">
        <f>+data!HQ8</f>
        <v>0</v>
      </c>
      <c r="CI13">
        <f>+data!HR8</f>
        <v>0</v>
      </c>
      <c r="CJ13">
        <f>+data!HS8</f>
        <v>0</v>
      </c>
      <c r="CK13">
        <f>+data!HT8</f>
        <v>0</v>
      </c>
      <c r="CL13">
        <f>+data!HU8</f>
        <v>0</v>
      </c>
      <c r="CM13">
        <f>+data!HV8</f>
        <v>0</v>
      </c>
      <c r="CN13">
        <f>+data!CB8</f>
        <v>0</v>
      </c>
      <c r="CO13">
        <f>+data!HW8</f>
        <v>0</v>
      </c>
      <c r="CP13">
        <f>+data!HX8</f>
        <v>0</v>
      </c>
      <c r="CQ13">
        <f>+data!HY8</f>
        <v>0</v>
      </c>
      <c r="CR13">
        <f>+data!HZ8</f>
        <v>0</v>
      </c>
      <c r="CS13">
        <f>+data!AG8</f>
        <v>1.427099593239999</v>
      </c>
      <c r="CT13">
        <f>+data!CD8</f>
        <v>0</v>
      </c>
      <c r="CU13">
        <f>+data!IB8</f>
        <v>0</v>
      </c>
      <c r="CV13">
        <f>+data!ID8</f>
        <v>0</v>
      </c>
      <c r="CW13">
        <f>+data!IF8</f>
        <v>0</v>
      </c>
      <c r="CX13">
        <f>+data!CF8</f>
        <v>0</v>
      </c>
      <c r="CY13">
        <f>+data!IH8</f>
        <v>0</v>
      </c>
      <c r="CZ13">
        <f>+data!II8</f>
        <v>0</v>
      </c>
      <c r="DA13">
        <f>+data!IJ8</f>
        <v>0</v>
      </c>
      <c r="DB13">
        <f>+data!IK8</f>
        <v>0</v>
      </c>
      <c r="DC13">
        <f>+data!U8</f>
        <v>1.9930294991700004</v>
      </c>
      <c r="DD13">
        <f>+data!AH8</f>
        <v>1.133610755379995</v>
      </c>
      <c r="DE13">
        <f>+data!CL8</f>
        <v>0</v>
      </c>
      <c r="DF13">
        <f>+data!IU8</f>
        <v>0</v>
      </c>
      <c r="DG13">
        <f>+data!CM8</f>
        <v>0</v>
      </c>
      <c r="DH13">
        <f>+data!IV8</f>
        <v>0</v>
      </c>
      <c r="DI13">
        <f>+data!IW8</f>
        <v>0</v>
      </c>
      <c r="DJ13">
        <f>+data!CN8</f>
        <v>0</v>
      </c>
      <c r="DK13">
        <f>+data!IX8</f>
        <v>0</v>
      </c>
      <c r="DL13">
        <f>+data!AI8</f>
        <v>0.85941715756000081</v>
      </c>
      <c r="DM13">
        <f>+data!CO8</f>
        <v>0</v>
      </c>
      <c r="DN13">
        <f>+data!IY8</f>
        <v>0</v>
      </c>
      <c r="DO13">
        <f>+data!IZ8</f>
        <v>0</v>
      </c>
      <c r="DP13">
        <f>+data!JA8</f>
        <v>0</v>
      </c>
      <c r="DQ13">
        <f>+data!AJ8</f>
        <v>0</v>
      </c>
      <c r="DR13">
        <f>+data!CP8</f>
        <v>0</v>
      </c>
      <c r="DS13">
        <f>+data!V8</f>
        <v>5.3994772977700096</v>
      </c>
      <c r="DT13">
        <f>+data!AK8</f>
        <v>4.318649886500018</v>
      </c>
      <c r="DU13">
        <f>+data!CQ8</f>
        <v>8.5801986159999913E-2</v>
      </c>
      <c r="DV13">
        <f>+data!JB8</f>
        <v>8.5801986159999913E-2</v>
      </c>
      <c r="DW13">
        <f>+data!CR8</f>
        <v>3.981761451510005</v>
      </c>
      <c r="DX13">
        <f>+data!JC8</f>
        <v>1.1829337852499984</v>
      </c>
      <c r="DY13">
        <f>+data!JD8</f>
        <v>2.233572867879996</v>
      </c>
      <c r="DZ13">
        <f>+data!JE8</f>
        <v>0.41795888370999995</v>
      </c>
      <c r="EA13">
        <f>+data!CS8</f>
        <v>0.14270074088999971</v>
      </c>
      <c r="EB13">
        <f>+data!JF8</f>
        <v>0.14270074088999971</v>
      </c>
      <c r="EC13">
        <f>+data!CT8</f>
        <v>0.10838649477999994</v>
      </c>
      <c r="ED13">
        <f>+data!JG8</f>
        <v>0.10838649477999994</v>
      </c>
      <c r="EE13">
        <f>+data!AL8</f>
        <v>1.080829125190002</v>
      </c>
      <c r="EF13">
        <f>+data!CU8</f>
        <v>1.0293703614499989</v>
      </c>
      <c r="EG13">
        <f>+data!JH8</f>
        <v>0.32759687267000032</v>
      </c>
      <c r="EH13">
        <f>+data!JI8</f>
        <v>0.53904934890000034</v>
      </c>
      <c r="EI13">
        <f>+data!JJ8</f>
        <v>0.16271882638999979</v>
      </c>
      <c r="EJ13">
        <f>+data!CV8</f>
        <v>3.1458231499999996E-2</v>
      </c>
      <c r="EK13">
        <f>+data!JK8</f>
        <v>3.1458231499999996E-2</v>
      </c>
      <c r="EL13">
        <f>+data!W8</f>
        <v>34.635708870120006</v>
      </c>
      <c r="EM13">
        <f>+data!AM8</f>
        <v>9.6480597579500031</v>
      </c>
      <c r="EN13">
        <f>+data!CW8</f>
        <v>9.4665572884200078</v>
      </c>
      <c r="EO13">
        <f>+data!JL8</f>
        <v>9.4665572884200078</v>
      </c>
      <c r="EP13">
        <f>+data!CX8</f>
        <v>0.18150240300000001</v>
      </c>
      <c r="EQ13">
        <f>+data!JM8</f>
        <v>0.18150240300000001</v>
      </c>
      <c r="ER13">
        <f>+data!AN8</f>
        <v>14.344762113249995</v>
      </c>
      <c r="ES13">
        <f>+data!CY8</f>
        <v>13.522611362790022</v>
      </c>
      <c r="ET13">
        <f>+data!JN8</f>
        <v>13.522611362790022</v>
      </c>
      <c r="EU13">
        <f>+data!CZ8</f>
        <v>0.82215100198999991</v>
      </c>
      <c r="EV13">
        <f>+data!JO8</f>
        <v>0.50062155006999998</v>
      </c>
      <c r="EW13">
        <f>+data!JP8</f>
        <v>0.32152945192000004</v>
      </c>
      <c r="EX13">
        <f>+data!AO8</f>
        <v>1.0150920801000014</v>
      </c>
      <c r="EY13">
        <f>+data!DA8</f>
        <v>0.53088323207999932</v>
      </c>
      <c r="EZ13">
        <f>+data!JQ8</f>
        <v>0.53088323207999932</v>
      </c>
      <c r="FA13">
        <f>+data!DB8</f>
        <v>0.48420853380000006</v>
      </c>
      <c r="FB13">
        <f>+data!JR8</f>
        <v>0.48420853380000006</v>
      </c>
      <c r="FC13">
        <f>+data!AP8</f>
        <v>0</v>
      </c>
      <c r="FD13">
        <f>+data!DC8</f>
        <v>0</v>
      </c>
      <c r="FE13">
        <f>+data!JS8</f>
        <v>0</v>
      </c>
      <c r="FF13">
        <f>+data!DD8</f>
        <v>0</v>
      </c>
      <c r="FG13">
        <f>+data!JT8</f>
        <v>0</v>
      </c>
      <c r="FH13">
        <f>+data!DE8</f>
        <v>0</v>
      </c>
      <c r="FI13">
        <f>+data!JU8</f>
        <v>0</v>
      </c>
      <c r="FJ13">
        <f>+data!DF8</f>
        <v>0</v>
      </c>
      <c r="FK13">
        <f>+data!JV8</f>
        <v>0</v>
      </c>
      <c r="FL13">
        <f>+data!AQ8</f>
        <v>6.6589742496100213</v>
      </c>
      <c r="FM13">
        <f>+data!DG8</f>
        <v>2.7044043181799897</v>
      </c>
      <c r="FN13">
        <f>+data!JW8</f>
        <v>2.7044043181799897</v>
      </c>
      <c r="FO13">
        <f>+data!DH8</f>
        <v>1.7476612813999977</v>
      </c>
      <c r="FP13">
        <f>+data!JX8</f>
        <v>0</v>
      </c>
      <c r="FQ13">
        <f>+data!JY8</f>
        <v>0</v>
      </c>
      <c r="FR13">
        <f>+data!DI8</f>
        <v>1.5691719936099995</v>
      </c>
      <c r="FS13">
        <f>+data!JZ8</f>
        <v>1.5691719936099995</v>
      </c>
      <c r="FT13">
        <f>+data!DJ8</f>
        <v>0.1467063496399999</v>
      </c>
      <c r="FU13">
        <f>+data!KA8</f>
        <v>0.1467063496399999</v>
      </c>
      <c r="FV13">
        <f>+data!DK8</f>
        <v>0.49102115402999991</v>
      </c>
      <c r="FW13">
        <f>+data!KB8</f>
        <v>0.49102115402999991</v>
      </c>
      <c r="FX13">
        <f>+data!X8</f>
        <v>5.8088443727299861</v>
      </c>
      <c r="FY13">
        <f>+data!AR8</f>
        <v>2.3165835746299996</v>
      </c>
      <c r="FZ13">
        <f>+data!DL8</f>
        <v>2.0600275816799996</v>
      </c>
      <c r="GA13">
        <f>+data!KC8</f>
        <v>2.0600275816799996</v>
      </c>
      <c r="GB13">
        <f>+data!DM8</f>
        <v>0.21199201649999994</v>
      </c>
      <c r="GC13">
        <f>+data!KD8</f>
        <v>0.21199201649999994</v>
      </c>
      <c r="GD13">
        <f>+data!DN8</f>
        <v>4.4563464540000028E-2</v>
      </c>
      <c r="GE13">
        <f>+data!KE8</f>
        <v>4.4563464540000028E-2</v>
      </c>
      <c r="GF13">
        <f>+data!AS8</f>
        <v>0.46999055017000019</v>
      </c>
      <c r="GG13">
        <f>+data!DO8</f>
        <v>0.46999055017000019</v>
      </c>
      <c r="GH13">
        <f>+data!KF8</f>
        <v>0.46999055017000019</v>
      </c>
      <c r="GI13">
        <f>+data!AT8</f>
        <v>1.0299469761800024</v>
      </c>
      <c r="GJ13">
        <f>+data!DP8</f>
        <v>0.69283461376000011</v>
      </c>
      <c r="GK13">
        <f>+data!KG8</f>
        <v>0.18208555375999999</v>
      </c>
      <c r="GL13">
        <f>+data!KH8</f>
        <v>0.24914101184999998</v>
      </c>
      <c r="GM13">
        <f>+data!KI8</f>
        <v>0</v>
      </c>
      <c r="GN13">
        <f>+data!KJ8</f>
        <v>0</v>
      </c>
      <c r="GO13">
        <f>+data!KK8</f>
        <v>0</v>
      </c>
      <c r="GP13">
        <f>+data!KL8</f>
        <v>0</v>
      </c>
      <c r="GQ13">
        <f>+data!KM8</f>
        <v>0.24967557275999974</v>
      </c>
      <c r="GR13">
        <f>+data!DQ8</f>
        <v>0.27595322416999979</v>
      </c>
      <c r="GS13">
        <f>+data!KN8</f>
        <v>0.27595322416999979</v>
      </c>
      <c r="GT13">
        <f>+data!DR8</f>
        <v>6.1157747540000008E-2</v>
      </c>
      <c r="GU13">
        <f>+data!KO8</f>
        <v>6.1157747540000008E-2</v>
      </c>
      <c r="GV13">
        <f>+data!AU8</f>
        <v>0.41770871916999924</v>
      </c>
      <c r="GW13">
        <f>+data!DS8</f>
        <v>1.5093770839999993E-2</v>
      </c>
      <c r="GX13">
        <f>+data!KP8</f>
        <v>0</v>
      </c>
      <c r="GY13">
        <f>+data!KQ8</f>
        <v>0</v>
      </c>
      <c r="GZ13">
        <f>+data!KR8</f>
        <v>0</v>
      </c>
      <c r="HA13">
        <f>+data!KS8</f>
        <v>1.5093770839999993E-2</v>
      </c>
      <c r="HB13">
        <f>+data!AV8</f>
        <v>0.6966169614600014</v>
      </c>
      <c r="HC13">
        <f>+data!DT8</f>
        <v>0</v>
      </c>
      <c r="HD13">
        <f>+data!KT8</f>
        <v>0</v>
      </c>
      <c r="HE13">
        <f>+data!DU8</f>
        <v>0</v>
      </c>
      <c r="HF13">
        <f>+data!KU8</f>
        <v>0</v>
      </c>
      <c r="HG13">
        <f>+data!AW8</f>
        <v>0.68971614643000223</v>
      </c>
      <c r="HH13">
        <f>+data!DV8</f>
        <v>0.45556673487999844</v>
      </c>
      <c r="HI13">
        <f>+data!KV8</f>
        <v>0</v>
      </c>
      <c r="HJ13">
        <f>+data!KW8</f>
        <v>0</v>
      </c>
      <c r="HK13">
        <f>+data!DW8</f>
        <v>0.23414954960000006</v>
      </c>
      <c r="HL13">
        <f>+data!KX8</f>
        <v>0</v>
      </c>
      <c r="HM13">
        <f>+data!KY8</f>
        <v>0</v>
      </c>
      <c r="HN13">
        <f>+data!Y8</f>
        <v>4.0188348554600131</v>
      </c>
      <c r="HO13">
        <f>+data!AX8</f>
        <v>2.2687621857400018</v>
      </c>
      <c r="HP13">
        <f>+data!DX8</f>
        <v>0.94391274674999992</v>
      </c>
      <c r="HQ13">
        <f>+data!KZ8</f>
        <v>0.94391274674999992</v>
      </c>
      <c r="HR13">
        <f>+data!DY8</f>
        <v>0.30137738604999997</v>
      </c>
      <c r="HS13">
        <f>+data!LA8</f>
        <v>0.30137738604999997</v>
      </c>
      <c r="HT13">
        <f>+data!DZ8</f>
        <v>1.0234752876600008</v>
      </c>
      <c r="HU13">
        <f>+data!LB8</f>
        <v>1.0234752876600008</v>
      </c>
      <c r="HV13">
        <f>+data!AY8</f>
        <v>1.5281629587700027</v>
      </c>
      <c r="HW13">
        <f>+data!EA8</f>
        <v>0.78560201939999541</v>
      </c>
      <c r="HX13">
        <f>+data!LC8</f>
        <v>0.78560201939999541</v>
      </c>
      <c r="HY13">
        <f>+data!EB8</f>
        <v>0.56715781968999956</v>
      </c>
      <c r="HZ13">
        <f>+data!LD8</f>
        <v>0.56715781968999956</v>
      </c>
      <c r="IA13">
        <f>+data!EC8</f>
        <v>0.17538505714999991</v>
      </c>
      <c r="IB13">
        <f>+data!LE8</f>
        <v>0</v>
      </c>
      <c r="IC13">
        <f>+data!LF8</f>
        <v>0</v>
      </c>
      <c r="ID13">
        <f>+data!LG8</f>
        <v>0.17538505714999991</v>
      </c>
      <c r="IE13">
        <f>+data!AZ8</f>
        <v>0.2139033529800001</v>
      </c>
      <c r="IF13">
        <f>+data!Z8</f>
        <v>15.799375677090026</v>
      </c>
      <c r="IG13">
        <f>+data!BA8</f>
        <v>3.9603211782100023</v>
      </c>
      <c r="IH13">
        <f>+data!ED8</f>
        <v>3.0542668460100026</v>
      </c>
      <c r="II13">
        <f>+data!LH8</f>
        <v>1.0811375401299996</v>
      </c>
      <c r="IJ13">
        <f>+data!LI8</f>
        <v>1.9731293058799997</v>
      </c>
      <c r="IK13">
        <f>+data!EE8</f>
        <v>9.1199201139999991E-2</v>
      </c>
      <c r="IL13">
        <f>+data!LJ8</f>
        <v>9.1199201139999991E-2</v>
      </c>
      <c r="IM13">
        <f>+data!EF8</f>
        <v>0.21287436212999988</v>
      </c>
      <c r="IN13">
        <f>+data!LK8</f>
        <v>0.21287436212999988</v>
      </c>
      <c r="IO13">
        <f>+data!EG8</f>
        <v>9.5907509000000006E-4</v>
      </c>
      <c r="IP13">
        <f>+data!LL8</f>
        <v>9.5907509000000006E-4</v>
      </c>
      <c r="IQ13">
        <f>+data!BB8</f>
        <v>11.033621762750023</v>
      </c>
      <c r="IR13">
        <f>+data!EH8</f>
        <v>0.92092666408000168</v>
      </c>
      <c r="IS13">
        <f>+data!LM8</f>
        <v>0.92092666408000168</v>
      </c>
      <c r="IT13">
        <f>+data!EI8</f>
        <v>5.396548853860013</v>
      </c>
      <c r="IU13">
        <f>+data!LN8</f>
        <v>5.396548853860013</v>
      </c>
      <c r="IV13">
        <f>+data!EJ8</f>
        <v>1.9164464964600061</v>
      </c>
      <c r="IW13">
        <f>+data!LO8</f>
        <v>1.9164464964600061</v>
      </c>
      <c r="IX13">
        <f>+data!EK8</f>
        <v>2.7997049949100061</v>
      </c>
      <c r="IY13">
        <f>+data!LP8</f>
        <v>2.7997049949100061</v>
      </c>
      <c r="IZ13">
        <f>+data!BC8</f>
        <v>1.4877957725499993</v>
      </c>
      <c r="JA13">
        <f>+data!EL8</f>
        <v>0</v>
      </c>
      <c r="JB13">
        <f>+data!LQ8</f>
        <v>0</v>
      </c>
      <c r="JC13">
        <f>+data!EM8</f>
        <v>0</v>
      </c>
      <c r="JD13">
        <f>+data!LR8</f>
        <v>0</v>
      </c>
      <c r="JE13">
        <f>+data!EN8</f>
        <v>0.33562286906000005</v>
      </c>
      <c r="JF13">
        <f>+data!LS8</f>
        <v>0.33562286906000005</v>
      </c>
      <c r="JG13">
        <f>+data!EO8</f>
        <v>0</v>
      </c>
      <c r="JH13">
        <f>+data!LT8</f>
        <v>0</v>
      </c>
      <c r="JI13">
        <f>+data!EP8</f>
        <v>0</v>
      </c>
      <c r="JJ13">
        <f>+data!LU8</f>
        <v>0</v>
      </c>
      <c r="JK13">
        <f>+data!EQ8</f>
        <v>0</v>
      </c>
      <c r="JL13">
        <f>+data!LV8</f>
        <v>0</v>
      </c>
      <c r="JM13">
        <f>+data!AA8</f>
        <v>3.1869426566499959</v>
      </c>
      <c r="JN13">
        <f>+data!BD8</f>
        <v>0.25893104096000019</v>
      </c>
      <c r="JO13">
        <f>+data!ER8</f>
        <v>0.25893104096000019</v>
      </c>
      <c r="JP13">
        <f>+data!LW8</f>
        <v>0</v>
      </c>
      <c r="JQ13">
        <f>+data!BE8</f>
        <v>0.15985542463000002</v>
      </c>
      <c r="JR13">
        <f>+data!ES8</f>
        <v>0.15985542463000002</v>
      </c>
      <c r="JS13">
        <f>+data!LX8</f>
        <v>0.15985542463000002</v>
      </c>
      <c r="JT13">
        <f>+data!BF8</f>
        <v>2.7681599059500144</v>
      </c>
      <c r="JU13">
        <f>+data!ET8</f>
        <v>2.7681599059500144</v>
      </c>
      <c r="JV13">
        <f>+data!LY8</f>
        <v>2.7681599059500144</v>
      </c>
      <c r="JW13">
        <f>+data!AB8</f>
        <v>12.25412614516001</v>
      </c>
      <c r="JX13">
        <f>+data!BG8</f>
        <v>1.6964758522299985</v>
      </c>
      <c r="JY13">
        <f>+data!EU8</f>
        <v>0.51416783816000045</v>
      </c>
      <c r="JZ13">
        <f>+data!LZ8</f>
        <v>0.13998783631000011</v>
      </c>
      <c r="KA13">
        <f>+data!MA8</f>
        <v>0.37417977148000037</v>
      </c>
      <c r="KB13">
        <f>+data!EV8</f>
        <v>0.16949012002999991</v>
      </c>
      <c r="KC13">
        <f>+data!MB8</f>
        <v>0.16949012002999991</v>
      </c>
      <c r="KD13">
        <f>+data!MC8</f>
        <v>0</v>
      </c>
      <c r="KE13">
        <f>+data!EW8</f>
        <v>0.64226865995000126</v>
      </c>
      <c r="KF13">
        <f>+data!MD8</f>
        <v>0.64226865995000126</v>
      </c>
      <c r="KG13">
        <f>+data!EX8</f>
        <v>0.33061398439000045</v>
      </c>
      <c r="KH13">
        <f>+data!ME8</f>
        <v>0.33061398439000045</v>
      </c>
      <c r="KI13">
        <f>+data!EY8</f>
        <v>3.9934315809999989E-2</v>
      </c>
      <c r="KJ13">
        <f>+data!MF8</f>
        <v>3.9934315809999989E-2</v>
      </c>
      <c r="KK13">
        <f>+data!BH8</f>
        <v>0.22575034452999973</v>
      </c>
      <c r="KL13">
        <f>+data!EZ8</f>
        <v>0.19077530252999977</v>
      </c>
      <c r="KM13">
        <f>+data!MG8</f>
        <v>0.19077530252999977</v>
      </c>
      <c r="KN13">
        <f>+data!FA8</f>
        <v>0</v>
      </c>
      <c r="KO13">
        <f>+data!MH8</f>
        <v>0</v>
      </c>
      <c r="KP13">
        <f>+data!MI8</f>
        <v>0</v>
      </c>
      <c r="KQ13">
        <f>+data!FB8</f>
        <v>3.4975022210000019E-2</v>
      </c>
      <c r="KR13">
        <f>+data!MJ8</f>
        <v>3.4975022210000019E-2</v>
      </c>
      <c r="KS13">
        <f>+data!BI8</f>
        <v>2.2886555487300062</v>
      </c>
      <c r="KT13">
        <f>+data!FC8</f>
        <v>0.4788311618799998</v>
      </c>
      <c r="KU13">
        <f>+data!MK8</f>
        <v>0.4788311618799998</v>
      </c>
      <c r="KV13">
        <f>+data!FD8</f>
        <v>0.30415167844000013</v>
      </c>
      <c r="KW13">
        <f>+data!ML8</f>
        <v>0.30415167844000013</v>
      </c>
      <c r="KX13">
        <f>+data!FE8</f>
        <v>0.82433985263000231</v>
      </c>
      <c r="KY13">
        <f>+data!MM8</f>
        <v>0.82433985263000231</v>
      </c>
      <c r="KZ13">
        <f>+data!FF8</f>
        <v>0.681333298360002</v>
      </c>
      <c r="LA13">
        <f>+data!MN8</f>
        <v>0.681333298360002</v>
      </c>
      <c r="LB13">
        <f>+data!FG8</f>
        <v>0</v>
      </c>
      <c r="LC13">
        <f>+data!MO8</f>
        <v>0</v>
      </c>
      <c r="LD13">
        <f>+data!BJ8</f>
        <v>2.8484457939399945</v>
      </c>
      <c r="LE13">
        <f>+data!FH8</f>
        <v>0.99613702829000161</v>
      </c>
      <c r="LF13">
        <f>+data!MP8</f>
        <v>0.99613702829000161</v>
      </c>
      <c r="LG13">
        <f>+data!FI8</f>
        <v>1.12648083764</v>
      </c>
      <c r="LH13">
        <f>+data!MQ8</f>
        <v>0</v>
      </c>
      <c r="LI13">
        <f>+data!MR8</f>
        <v>0</v>
      </c>
      <c r="LJ13">
        <f>+data!MS8</f>
        <v>0.82100393715000186</v>
      </c>
      <c r="LK13">
        <f>+data!MT8</f>
        <v>0.30549293233000085</v>
      </c>
      <c r="LL13">
        <f>+data!FJ8</f>
        <v>0</v>
      </c>
      <c r="LM13">
        <f>+data!MU8</f>
        <v>0</v>
      </c>
      <c r="LN13">
        <f>+data!BK8</f>
        <v>2.0477404992299952</v>
      </c>
      <c r="LO13">
        <f>+data!FK8</f>
        <v>0.5941898057199988</v>
      </c>
      <c r="LP13">
        <f>+data!MV8</f>
        <v>0.5941898057199988</v>
      </c>
      <c r="LQ13">
        <f>+data!FL8</f>
        <v>0.78159132279000032</v>
      </c>
      <c r="LR13">
        <f>+data!MW8</f>
        <v>0.78159132279000032</v>
      </c>
      <c r="LS13">
        <f>+data!FM8</f>
        <v>0.67196005814999993</v>
      </c>
      <c r="LT13">
        <f>+data!MX8</f>
        <v>0.67196005814999993</v>
      </c>
      <c r="LU13">
        <f>+data!FN8</f>
        <v>0</v>
      </c>
      <c r="LV13">
        <f>+data!MY8</f>
        <v>0</v>
      </c>
      <c r="LW13">
        <f>+data!BL8</f>
        <v>3.1470678491599986</v>
      </c>
      <c r="LX13">
        <f>+data!AC8</f>
        <v>1.0527319900100003</v>
      </c>
      <c r="LY13">
        <f>+data!BM8</f>
        <v>0</v>
      </c>
      <c r="LZ13">
        <f>+data!FO8</f>
        <v>0</v>
      </c>
      <c r="MA13">
        <f>+data!MZ8</f>
        <v>0</v>
      </c>
      <c r="MB13">
        <f>+data!BN8</f>
        <v>0</v>
      </c>
      <c r="MC13">
        <f>+data!FP8</f>
        <v>0</v>
      </c>
      <c r="MD13">
        <f>+data!NA8</f>
        <v>0</v>
      </c>
      <c r="ME13">
        <f>+data!BO8</f>
        <v>0</v>
      </c>
      <c r="MF13">
        <f>+data!FQ8</f>
        <v>0</v>
      </c>
      <c r="MG13">
        <f>+data!NB8</f>
        <v>0</v>
      </c>
      <c r="MH13">
        <f>+data!BP8</f>
        <v>0</v>
      </c>
      <c r="MI13">
        <f>+data!FR8</f>
        <v>0</v>
      </c>
      <c r="MJ13">
        <f>+data!NC8</f>
        <v>0</v>
      </c>
      <c r="MK13">
        <f>+data!BQ8</f>
        <v>0.26052736651999975</v>
      </c>
      <c r="ML13">
        <f>+data!FS8</f>
        <v>0.26052736651999975</v>
      </c>
      <c r="MM13">
        <f>+data!ND8</f>
        <v>0.26052736651999975</v>
      </c>
      <c r="MN13">
        <f>+data!AD8</f>
        <v>5.5967906323799914</v>
      </c>
      <c r="MO13">
        <f>+data!BR8</f>
        <v>4.406364762999992</v>
      </c>
      <c r="MP13">
        <f>+data!FT8</f>
        <v>3.9265821373299952</v>
      </c>
      <c r="MQ13">
        <f>+data!NE8</f>
        <v>0</v>
      </c>
      <c r="MR13">
        <f>+data!NF8</f>
        <v>0</v>
      </c>
      <c r="MS13">
        <f>+data!FV8</f>
        <v>0.47978475941000037</v>
      </c>
      <c r="MT13">
        <f>+data!NG8</f>
        <v>0.47978475941000037</v>
      </c>
      <c r="MU13">
        <f>+data!BT8</f>
        <v>1.190423425119999</v>
      </c>
      <c r="MV13">
        <f>+data!GB8</f>
        <v>1.190423425119999</v>
      </c>
      <c r="MW13">
        <f>+data!NH8</f>
        <v>1.190423425119999</v>
      </c>
      <c r="MX13">
        <f>+data!AF8</f>
        <v>11.704053574270006</v>
      </c>
      <c r="MY13">
        <f>+data!CC8</f>
        <v>2.6879457140500058</v>
      </c>
      <c r="MZ13">
        <f>+data!IA8</f>
        <v>1.2118520905599979</v>
      </c>
      <c r="NA13">
        <f>+data!NI8</f>
        <v>1.2118520905599979</v>
      </c>
      <c r="NB13">
        <f>+data!IC8</f>
        <v>5.3870388889999982E-2</v>
      </c>
      <c r="NC13">
        <f>+data!NJ8</f>
        <v>5.3870388889999982E-2</v>
      </c>
      <c r="ND13">
        <f>+data!IE8</f>
        <v>1.4222167459099979</v>
      </c>
      <c r="NE13">
        <f>+data!NK8</f>
        <v>1.4222167459099979</v>
      </c>
      <c r="NF13">
        <f>+data!CE8</f>
        <v>0</v>
      </c>
      <c r="NG13">
        <f>+data!IG8</f>
        <v>0</v>
      </c>
      <c r="NH13">
        <f>+data!NL8</f>
        <v>0</v>
      </c>
      <c r="NI13">
        <f>+data!CG8</f>
        <v>0.56737538982000002</v>
      </c>
      <c r="NJ13">
        <f>+data!IL8</f>
        <v>0.34830309790999869</v>
      </c>
      <c r="NK13">
        <f>+data!NM8</f>
        <v>0.34830309790999869</v>
      </c>
      <c r="NL13">
        <f>+data!IM8</f>
        <v>0.21907225315000012</v>
      </c>
      <c r="NM13">
        <f>+data!NN8</f>
        <v>0</v>
      </c>
      <c r="NN13">
        <f>+data!NO8</f>
        <v>0</v>
      </c>
      <c r="NO13">
        <f>+data!CH8</f>
        <v>0.22352132588999993</v>
      </c>
      <c r="NP13">
        <f>+data!IN8</f>
        <v>0.22352132588999993</v>
      </c>
      <c r="NQ13">
        <f>+data!NP8</f>
        <v>6.6931891140000005E-2</v>
      </c>
      <c r="NR13">
        <f>+data!NQ8</f>
        <v>0.15658943474999995</v>
      </c>
      <c r="NS13">
        <f>+data!CI8</f>
        <v>7.4484027067600014</v>
      </c>
      <c r="NT13">
        <f>+data!IO8</f>
        <v>0</v>
      </c>
      <c r="NU13">
        <f>+data!NR8</f>
        <v>0</v>
      </c>
      <c r="NV13">
        <f>+data!IP8</f>
        <v>3.6379373010399996</v>
      </c>
      <c r="NW13">
        <f>+data!NS8</f>
        <v>3.6379373010399996</v>
      </c>
      <c r="NX13">
        <f>+data!IQ8</f>
        <v>1.8257911056499954</v>
      </c>
      <c r="NY13">
        <f>+data!NT8</f>
        <v>1.8257911056499954</v>
      </c>
      <c r="NZ13">
        <f>+data!IR8</f>
        <v>1.9846698377900054</v>
      </c>
      <c r="OA13">
        <f>+data!NU8</f>
        <v>1.9846698377900054</v>
      </c>
      <c r="OB13">
        <f>+data!CJ8</f>
        <v>0.24917343044000009</v>
      </c>
      <c r="OC13">
        <f>+data!IS8</f>
        <v>0.24917343044000009</v>
      </c>
      <c r="OD13">
        <f>+data!NV8</f>
        <v>0.24917343044000009</v>
      </c>
      <c r="OE13">
        <f>+data!CK8</f>
        <v>0.45222422296999909</v>
      </c>
      <c r="OF13">
        <f>+data!IT8</f>
        <v>0.45222422296999909</v>
      </c>
      <c r="OG13">
        <f>+data!NW8</f>
        <v>0.11613884736999994</v>
      </c>
    </row>
    <row r="14" spans="7:397">
      <c r="J14" s="4">
        <f t="shared" si="340"/>
        <v>0.11631642468097353</v>
      </c>
      <c r="K14" t="s">
        <v>394</v>
      </c>
      <c r="AC14">
        <f>+data!S9</f>
        <v>131.24122733441021</v>
      </c>
      <c r="AD14">
        <f>+data!T9</f>
        <v>14.153518929999981</v>
      </c>
      <c r="AE14">
        <f>+data!AE9</f>
        <v>12.690917653890009</v>
      </c>
      <c r="AF14">
        <f>+data!BS9</f>
        <v>0</v>
      </c>
      <c r="AG14">
        <f>+data!FU9</f>
        <v>0</v>
      </c>
      <c r="AH14">
        <f>+data!FW9</f>
        <v>0</v>
      </c>
      <c r="AI14">
        <f>+data!FX9</f>
        <v>0</v>
      </c>
      <c r="AJ14">
        <f>+data!FY9</f>
        <v>0</v>
      </c>
      <c r="AK14">
        <f>+data!FZ9</f>
        <v>0</v>
      </c>
      <c r="AL14">
        <f>+data!GA9</f>
        <v>0</v>
      </c>
      <c r="AM14">
        <f>+data!BU9</f>
        <v>0</v>
      </c>
      <c r="AN14">
        <f>+data!GC9</f>
        <v>0</v>
      </c>
      <c r="AO14">
        <f>+data!GD9</f>
        <v>0</v>
      </c>
      <c r="AP14">
        <f>+data!GE9</f>
        <v>0</v>
      </c>
      <c r="AQ14">
        <f>+data!GF9</f>
        <v>0</v>
      </c>
      <c r="AR14">
        <f>+data!GG9</f>
        <v>0</v>
      </c>
      <c r="AS14">
        <f>+data!GH9</f>
        <v>0</v>
      </c>
      <c r="AT14">
        <f>+data!GI9</f>
        <v>0</v>
      </c>
      <c r="AU14">
        <f>+data!BV9</f>
        <v>0</v>
      </c>
      <c r="AV14">
        <f>+data!GJ9</f>
        <v>0</v>
      </c>
      <c r="AW14">
        <f>+data!GK9</f>
        <v>0</v>
      </c>
      <c r="AX14">
        <f>+data!GL9</f>
        <v>0</v>
      </c>
      <c r="AY14">
        <f>+data!GM9</f>
        <v>0</v>
      </c>
      <c r="AZ14">
        <f>+data!BW9</f>
        <v>0</v>
      </c>
      <c r="BA14">
        <f>+data!GN9</f>
        <v>0</v>
      </c>
      <c r="BB14">
        <f>+data!GO9</f>
        <v>0</v>
      </c>
      <c r="BC14">
        <f>+data!GP9</f>
        <v>0</v>
      </c>
      <c r="BD14">
        <f>+data!GQ9</f>
        <v>0</v>
      </c>
      <c r="BE14">
        <f>+data!GR9</f>
        <v>0</v>
      </c>
      <c r="BF14">
        <f>+data!GS9</f>
        <v>0</v>
      </c>
      <c r="BG14">
        <f>+data!GT9</f>
        <v>0</v>
      </c>
      <c r="BH14">
        <f>+data!BX9</f>
        <v>0</v>
      </c>
      <c r="BI14">
        <f>+data!GU9</f>
        <v>0</v>
      </c>
      <c r="BJ14">
        <f>+data!GV9</f>
        <v>0</v>
      </c>
      <c r="BK14">
        <f>+data!GW9</f>
        <v>0</v>
      </c>
      <c r="BL14">
        <f>+data!GX9</f>
        <v>0</v>
      </c>
      <c r="BM14">
        <f>+data!GY9</f>
        <v>0</v>
      </c>
      <c r="BN14">
        <f>+data!BY9</f>
        <v>0</v>
      </c>
      <c r="BO14">
        <f>+data!GZ9</f>
        <v>0</v>
      </c>
      <c r="BP14">
        <f>+data!HA9</f>
        <v>0</v>
      </c>
      <c r="BQ14">
        <f>+data!HB9</f>
        <v>0</v>
      </c>
      <c r="BR14">
        <f>+data!HC9</f>
        <v>0</v>
      </c>
      <c r="BS14">
        <f>+data!HD9</f>
        <v>0</v>
      </c>
      <c r="BT14">
        <f>+data!HE9</f>
        <v>0</v>
      </c>
      <c r="BU14">
        <f>+data!HF9</f>
        <v>0</v>
      </c>
      <c r="BV14">
        <f>+data!HG9</f>
        <v>0</v>
      </c>
      <c r="BW14">
        <f>+data!HH9</f>
        <v>0</v>
      </c>
      <c r="BX14">
        <f>+data!BZ9</f>
        <v>0</v>
      </c>
      <c r="BY14">
        <f>+data!HI9</f>
        <v>0</v>
      </c>
      <c r="BZ14">
        <f>+data!HJ9</f>
        <v>0</v>
      </c>
      <c r="CA14">
        <f>+data!HK9</f>
        <v>0</v>
      </c>
      <c r="CB14">
        <f>+data!HL9</f>
        <v>0</v>
      </c>
      <c r="CC14">
        <f>+data!HM9</f>
        <v>0</v>
      </c>
      <c r="CD14">
        <f>+data!HN9</f>
        <v>0</v>
      </c>
      <c r="CE14">
        <f>+data!HO9</f>
        <v>0</v>
      </c>
      <c r="CF14">
        <f>+data!HP9</f>
        <v>0</v>
      </c>
      <c r="CG14">
        <f>+data!CA9</f>
        <v>0</v>
      </c>
      <c r="CH14">
        <f>+data!HQ9</f>
        <v>0</v>
      </c>
      <c r="CI14">
        <f>+data!HR9</f>
        <v>0</v>
      </c>
      <c r="CJ14">
        <f>+data!HS9</f>
        <v>0</v>
      </c>
      <c r="CK14">
        <f>+data!HT9</f>
        <v>0</v>
      </c>
      <c r="CL14">
        <f>+data!HU9</f>
        <v>0</v>
      </c>
      <c r="CM14">
        <f>+data!HV9</f>
        <v>0</v>
      </c>
      <c r="CN14">
        <f>+data!CB9</f>
        <v>0</v>
      </c>
      <c r="CO14">
        <f>+data!HW9</f>
        <v>0</v>
      </c>
      <c r="CP14">
        <f>+data!HX9</f>
        <v>0</v>
      </c>
      <c r="CQ14">
        <f>+data!HY9</f>
        <v>0</v>
      </c>
      <c r="CR14">
        <f>+data!HZ9</f>
        <v>0</v>
      </c>
      <c r="CS14">
        <f>+data!AG9</f>
        <v>1.462604532269995</v>
      </c>
      <c r="CT14">
        <f>+data!CD9</f>
        <v>0</v>
      </c>
      <c r="CU14">
        <f>+data!IB9</f>
        <v>0</v>
      </c>
      <c r="CV14">
        <f>+data!ID9</f>
        <v>0</v>
      </c>
      <c r="CW14">
        <f>+data!IF9</f>
        <v>0</v>
      </c>
      <c r="CX14">
        <f>+data!CF9</f>
        <v>0</v>
      </c>
      <c r="CY14">
        <f>+data!IH9</f>
        <v>0</v>
      </c>
      <c r="CZ14">
        <f>+data!II9</f>
        <v>0</v>
      </c>
      <c r="DA14">
        <f>+data!IJ9</f>
        <v>0</v>
      </c>
      <c r="DB14">
        <f>+data!IK9</f>
        <v>0</v>
      </c>
      <c r="DC14">
        <f>+data!U9</f>
        <v>2.1387289220400021</v>
      </c>
      <c r="DD14">
        <f>+data!AH9</f>
        <v>1.2826793033500019</v>
      </c>
      <c r="DE14">
        <f>+data!CL9</f>
        <v>0</v>
      </c>
      <c r="DF14">
        <f>+data!IU9</f>
        <v>0</v>
      </c>
      <c r="DG14">
        <f>+data!CM9</f>
        <v>0</v>
      </c>
      <c r="DH14">
        <f>+data!IV9</f>
        <v>0</v>
      </c>
      <c r="DI14">
        <f>+data!IW9</f>
        <v>0</v>
      </c>
      <c r="DJ14">
        <f>+data!CN9</f>
        <v>0</v>
      </c>
      <c r="DK14">
        <f>+data!IX9</f>
        <v>0</v>
      </c>
      <c r="DL14">
        <f>+data!AI9</f>
        <v>0.85605047632999898</v>
      </c>
      <c r="DM14">
        <f>+data!CO9</f>
        <v>0</v>
      </c>
      <c r="DN14">
        <f>+data!IY9</f>
        <v>0</v>
      </c>
      <c r="DO14">
        <f>+data!IZ9</f>
        <v>0</v>
      </c>
      <c r="DP14">
        <f>+data!JA9</f>
        <v>0</v>
      </c>
      <c r="DQ14">
        <f>+data!AJ9</f>
        <v>0</v>
      </c>
      <c r="DR14">
        <f>+data!CP9</f>
        <v>0</v>
      </c>
      <c r="DS14">
        <f>+data!V9</f>
        <v>6.0245394820199989</v>
      </c>
      <c r="DT14">
        <f>+data!AK9</f>
        <v>4.8448407587500153</v>
      </c>
      <c r="DU14">
        <f>+data!CQ9</f>
        <v>9.7620034869999969E-2</v>
      </c>
      <c r="DV14">
        <f>+data!JB9</f>
        <v>9.7620034869999969E-2</v>
      </c>
      <c r="DW14">
        <f>+data!CR9</f>
        <v>4.4761731103400084</v>
      </c>
      <c r="DX14">
        <f>+data!JC9</f>
        <v>1.4156188854999969</v>
      </c>
      <c r="DY14">
        <f>+data!JD9</f>
        <v>2.4800976290799945</v>
      </c>
      <c r="DZ14">
        <f>+data!JE9</f>
        <v>0.42212483061999961</v>
      </c>
      <c r="EA14">
        <f>+data!CS9</f>
        <v>0.14371883550999978</v>
      </c>
      <c r="EB14">
        <f>+data!JF9</f>
        <v>0.14371883550999978</v>
      </c>
      <c r="EC14">
        <f>+data!CT9</f>
        <v>0.12733097217000006</v>
      </c>
      <c r="ED14">
        <f>+data!JG9</f>
        <v>0.12733097217000006</v>
      </c>
      <c r="EE14">
        <f>+data!AL9</f>
        <v>1.1796969745199997</v>
      </c>
      <c r="EF14">
        <f>+data!CU9</f>
        <v>1.1244372007999979</v>
      </c>
      <c r="EG14">
        <f>+data!JH9</f>
        <v>0.36239337212000045</v>
      </c>
      <c r="EH14">
        <f>+data!JI9</f>
        <v>0.60065719827000053</v>
      </c>
      <c r="EI14">
        <f>+data!JJ9</f>
        <v>0.16138375436000033</v>
      </c>
      <c r="EJ14">
        <f>+data!CV9</f>
        <v>3.3783871230000005E-2</v>
      </c>
      <c r="EK14">
        <f>+data!JK9</f>
        <v>3.3783871230000005E-2</v>
      </c>
      <c r="EL14">
        <f>+data!W9</f>
        <v>36.957069606280093</v>
      </c>
      <c r="EM14">
        <f>+data!AM9</f>
        <v>9.0956736113999952</v>
      </c>
      <c r="EN14">
        <f>+data!CW9</f>
        <v>8.8170930827500005</v>
      </c>
      <c r="EO14">
        <f>+data!JL9</f>
        <v>8.8170930827500005</v>
      </c>
      <c r="EP14">
        <f>+data!CX9</f>
        <v>0.27858047104999994</v>
      </c>
      <c r="EQ14">
        <f>+data!JM9</f>
        <v>0.27858047104999994</v>
      </c>
      <c r="ER14">
        <f>+data!AN9</f>
        <v>16.45823157264002</v>
      </c>
      <c r="ES14">
        <f>+data!CY9</f>
        <v>15.632481510150035</v>
      </c>
      <c r="ET14">
        <f>+data!JN9</f>
        <v>15.632481510150035</v>
      </c>
      <c r="EU14">
        <f>+data!CZ9</f>
        <v>0.82575005161999926</v>
      </c>
      <c r="EV14">
        <f>+data!JO9</f>
        <v>0.50117906194000017</v>
      </c>
      <c r="EW14">
        <f>+data!JP9</f>
        <v>0.32457112066000016</v>
      </c>
      <c r="EX14">
        <f>+data!AO9</f>
        <v>1.238179109079999</v>
      </c>
      <c r="EY14">
        <f>+data!DA9</f>
        <v>0.55875096249999967</v>
      </c>
      <c r="EZ14">
        <f>+data!JQ9</f>
        <v>0.55875096249999967</v>
      </c>
      <c r="FA14">
        <f>+data!DB9</f>
        <v>0.67942724309000047</v>
      </c>
      <c r="FB14">
        <f>+data!JR9</f>
        <v>0.67942724309000047</v>
      </c>
      <c r="FC14">
        <f>+data!AP9</f>
        <v>0</v>
      </c>
      <c r="FD14">
        <f>+data!DC9</f>
        <v>0</v>
      </c>
      <c r="FE14">
        <f>+data!JS9</f>
        <v>0</v>
      </c>
      <c r="FF14">
        <f>+data!DD9</f>
        <v>0</v>
      </c>
      <c r="FG14">
        <f>+data!JT9</f>
        <v>0</v>
      </c>
      <c r="FH14">
        <f>+data!DE9</f>
        <v>0</v>
      </c>
      <c r="FI14">
        <f>+data!JU9</f>
        <v>0</v>
      </c>
      <c r="FJ14">
        <f>+data!DF9</f>
        <v>0</v>
      </c>
      <c r="FK14">
        <f>+data!JV9</f>
        <v>0</v>
      </c>
      <c r="FL14">
        <f>+data!AQ9</f>
        <v>6.8407129073500306</v>
      </c>
      <c r="FM14">
        <f>+data!DG9</f>
        <v>2.8058273742099917</v>
      </c>
      <c r="FN14">
        <f>+data!JW9</f>
        <v>2.8058273742099917</v>
      </c>
      <c r="FO14">
        <f>+data!DH9</f>
        <v>1.8318541329799989</v>
      </c>
      <c r="FP14">
        <f>+data!JX9</f>
        <v>0</v>
      </c>
      <c r="FQ14">
        <f>+data!JY9</f>
        <v>0</v>
      </c>
      <c r="FR14">
        <f>+data!DI9</f>
        <v>1.5910923425299981</v>
      </c>
      <c r="FS14">
        <f>+data!JZ9</f>
        <v>1.5910923425299981</v>
      </c>
      <c r="FT14">
        <f>+data!DJ9</f>
        <v>0.15130997301999999</v>
      </c>
      <c r="FU14">
        <f>+data!KA9</f>
        <v>0.15130997301999999</v>
      </c>
      <c r="FV14">
        <f>+data!DK9</f>
        <v>0.46062077790000022</v>
      </c>
      <c r="FW14">
        <f>+data!KB9</f>
        <v>0.46062077790000022</v>
      </c>
      <c r="FX14">
        <f>+data!X9</f>
        <v>6.6192192219299866</v>
      </c>
      <c r="FY14">
        <f>+data!AR9</f>
        <v>2.7046304740000009</v>
      </c>
      <c r="FZ14">
        <f>+data!DL9</f>
        <v>2.3333213033100009</v>
      </c>
      <c r="GA14">
        <f>+data!KC9</f>
        <v>2.3333213033100009</v>
      </c>
      <c r="GB14">
        <f>+data!DM9</f>
        <v>0.30158682216000016</v>
      </c>
      <c r="GC14">
        <f>+data!KD9</f>
        <v>0.30158682216000016</v>
      </c>
      <c r="GD14">
        <f>+data!DN9</f>
        <v>6.9722466499999997E-2</v>
      </c>
      <c r="GE14">
        <f>+data!KE9</f>
        <v>6.9722466499999997E-2</v>
      </c>
      <c r="GF14">
        <f>+data!AS9</f>
        <v>0.4952316995599999</v>
      </c>
      <c r="GG14">
        <f>+data!DO9</f>
        <v>0.4952316995599999</v>
      </c>
      <c r="GH14">
        <f>+data!KF9</f>
        <v>0.4952316995599999</v>
      </c>
      <c r="GI14">
        <f>+data!AT9</f>
        <v>1.1248083324699985</v>
      </c>
      <c r="GJ14">
        <f>+data!DP9</f>
        <v>0.79921375306999964</v>
      </c>
      <c r="GK14">
        <f>+data!KG9</f>
        <v>0.18797264997999996</v>
      </c>
      <c r="GL14">
        <f>+data!KH9</f>
        <v>0.29856903103000021</v>
      </c>
      <c r="GM14">
        <f>+data!KI9</f>
        <v>0</v>
      </c>
      <c r="GN14">
        <f>+data!KJ9</f>
        <v>0</v>
      </c>
      <c r="GO14">
        <f>+data!KK9</f>
        <v>0</v>
      </c>
      <c r="GP14">
        <f>+data!KL9</f>
        <v>0</v>
      </c>
      <c r="GQ14">
        <f>+data!KM9</f>
        <v>0.29808290045999997</v>
      </c>
      <c r="GR14">
        <f>+data!DQ9</f>
        <v>0.27568351453000017</v>
      </c>
      <c r="GS14">
        <f>+data!KN9</f>
        <v>0.27568351453000017</v>
      </c>
      <c r="GT14">
        <f>+data!DR9</f>
        <v>4.9910239769999983E-2</v>
      </c>
      <c r="GU14">
        <f>+data!KO9</f>
        <v>4.9910239769999983E-2</v>
      </c>
      <c r="GV14">
        <f>+data!AU9</f>
        <v>0.46502002897999983</v>
      </c>
      <c r="GW14">
        <f>+data!DS9</f>
        <v>1.0290758640000001E-2</v>
      </c>
      <c r="GX14">
        <f>+data!KP9</f>
        <v>0</v>
      </c>
      <c r="GY14">
        <f>+data!KQ9</f>
        <v>0</v>
      </c>
      <c r="GZ14">
        <f>+data!KR9</f>
        <v>0</v>
      </c>
      <c r="HA14">
        <f>+data!KS9</f>
        <v>1.0290758640000001E-2</v>
      </c>
      <c r="HB14">
        <f>+data!AV9</f>
        <v>0.76299053938999961</v>
      </c>
      <c r="HC14">
        <f>+data!DT9</f>
        <v>0</v>
      </c>
      <c r="HD14">
        <f>+data!KT9</f>
        <v>0</v>
      </c>
      <c r="HE14">
        <f>+data!DU9</f>
        <v>0</v>
      </c>
      <c r="HF14">
        <f>+data!KU9</f>
        <v>0</v>
      </c>
      <c r="HG14">
        <f>+data!AW9</f>
        <v>0.78814387417000176</v>
      </c>
      <c r="HH14">
        <f>+data!DV9</f>
        <v>0.4981767738600002</v>
      </c>
      <c r="HI14">
        <f>+data!KV9</f>
        <v>0</v>
      </c>
      <c r="HJ14">
        <f>+data!KW9</f>
        <v>0</v>
      </c>
      <c r="HK14">
        <f>+data!DW9</f>
        <v>0.28996673175000021</v>
      </c>
      <c r="HL14">
        <f>+data!KX9</f>
        <v>0</v>
      </c>
      <c r="HM14">
        <f>+data!KY9</f>
        <v>0</v>
      </c>
      <c r="HN14">
        <f>+data!Y9</f>
        <v>4.6278357500299858</v>
      </c>
      <c r="HO14">
        <f>+data!AX9</f>
        <v>2.3942501388800013</v>
      </c>
      <c r="HP14">
        <f>+data!DX9</f>
        <v>0.99539309486999872</v>
      </c>
      <c r="HQ14">
        <f>+data!KZ9</f>
        <v>0.99539309486999872</v>
      </c>
      <c r="HR14">
        <f>+data!DY9</f>
        <v>0.27942982892000007</v>
      </c>
      <c r="HS14">
        <f>+data!LA9</f>
        <v>0.27942982892000007</v>
      </c>
      <c r="HT14">
        <f>+data!DZ9</f>
        <v>1.1194269949200011</v>
      </c>
      <c r="HU14">
        <f>+data!LB9</f>
        <v>1.1194269949200011</v>
      </c>
      <c r="HV14">
        <f>+data!AY9</f>
        <v>2.0434013480400046</v>
      </c>
      <c r="HW14">
        <f>+data!EA9</f>
        <v>1.1635207571899988</v>
      </c>
      <c r="HX14">
        <f>+data!LC9</f>
        <v>1.1635207571899988</v>
      </c>
      <c r="HY14">
        <f>+data!EB9</f>
        <v>0.6409628216600004</v>
      </c>
      <c r="HZ14">
        <f>+data!LD9</f>
        <v>0.6409628216600004</v>
      </c>
      <c r="IA14">
        <f>+data!EC9</f>
        <v>0.23890507501000008</v>
      </c>
      <c r="IB14">
        <f>+data!LE9</f>
        <v>0</v>
      </c>
      <c r="IC14">
        <f>+data!LF9</f>
        <v>0</v>
      </c>
      <c r="ID14">
        <f>+data!LG9</f>
        <v>0.23890507501000008</v>
      </c>
      <c r="IE14">
        <f>+data!AZ9</f>
        <v>0.18091811370000005</v>
      </c>
      <c r="IF14">
        <f>+data!Z9</f>
        <v>20.423766342460038</v>
      </c>
      <c r="IG14">
        <f>+data!BA9</f>
        <v>7.1679772959599921</v>
      </c>
      <c r="IH14">
        <f>+data!ED9</f>
        <v>6.0115599171600005</v>
      </c>
      <c r="II14">
        <f>+data!LH9</f>
        <v>2.6160366786800009</v>
      </c>
      <c r="IJ14">
        <f>+data!LI9</f>
        <v>3.39552323848</v>
      </c>
      <c r="IK14">
        <f>+data!EE9</f>
        <v>0.22691631933000003</v>
      </c>
      <c r="IL14">
        <f>+data!LJ9</f>
        <v>0.22691631933000003</v>
      </c>
      <c r="IM14">
        <f>+data!EF9</f>
        <v>0.27291381429999989</v>
      </c>
      <c r="IN14">
        <f>+data!LK9</f>
        <v>0.27291381429999989</v>
      </c>
      <c r="IO14">
        <f>+data!EG9</f>
        <v>8.5970842999999995E-4</v>
      </c>
      <c r="IP14">
        <f>+data!LL9</f>
        <v>8.5970842999999995E-4</v>
      </c>
      <c r="IQ14">
        <f>+data!BB9</f>
        <v>12.141110288699993</v>
      </c>
      <c r="IR14">
        <f>+data!EH9</f>
        <v>1.0541299849599992</v>
      </c>
      <c r="IS14">
        <f>+data!LM9</f>
        <v>1.0541299849599992</v>
      </c>
      <c r="IT14">
        <f>+data!EI9</f>
        <v>5.8292851532899945</v>
      </c>
      <c r="IU14">
        <f>+data!LN9</f>
        <v>5.8292851532899945</v>
      </c>
      <c r="IV14">
        <f>+data!EJ9</f>
        <v>2.1753425786899938</v>
      </c>
      <c r="IW14">
        <f>+data!LO9</f>
        <v>2.1753425786899938</v>
      </c>
      <c r="IX14">
        <f>+data!EK9</f>
        <v>3.0823570851500106</v>
      </c>
      <c r="IY14">
        <f>+data!LP9</f>
        <v>3.0823570851500106</v>
      </c>
      <c r="IZ14">
        <f>+data!BC9</f>
        <v>1.8289698828100043</v>
      </c>
      <c r="JA14">
        <f>+data!EL9</f>
        <v>0</v>
      </c>
      <c r="JB14">
        <f>+data!LQ9</f>
        <v>0</v>
      </c>
      <c r="JC14">
        <f>+data!EM9</f>
        <v>0</v>
      </c>
      <c r="JD14">
        <f>+data!LR9</f>
        <v>0</v>
      </c>
      <c r="JE14">
        <f>+data!EN9</f>
        <v>0.48563549990999977</v>
      </c>
      <c r="JF14">
        <f>+data!LS9</f>
        <v>0.48563549990999977</v>
      </c>
      <c r="JG14">
        <f>+data!EO9</f>
        <v>0</v>
      </c>
      <c r="JH14">
        <f>+data!LT9</f>
        <v>0</v>
      </c>
      <c r="JI14">
        <f>+data!EP9</f>
        <v>0</v>
      </c>
      <c r="JJ14">
        <f>+data!LU9</f>
        <v>0</v>
      </c>
      <c r="JK14">
        <f>+data!EQ9</f>
        <v>0</v>
      </c>
      <c r="JL14">
        <f>+data!LV9</f>
        <v>0</v>
      </c>
      <c r="JM14">
        <f>+data!AA9</f>
        <v>3.3043873725399879</v>
      </c>
      <c r="JN14">
        <f>+data!BD9</f>
        <v>0.28756403058000041</v>
      </c>
      <c r="JO14">
        <f>+data!ER9</f>
        <v>0.28756403058000041</v>
      </c>
      <c r="JP14">
        <f>+data!LW9</f>
        <v>0</v>
      </c>
      <c r="JQ14">
        <f>+data!BE9</f>
        <v>0.17746294996000028</v>
      </c>
      <c r="JR14">
        <f>+data!ES9</f>
        <v>0.17746294996000028</v>
      </c>
      <c r="JS14">
        <f>+data!LX9</f>
        <v>0.17746294996000028</v>
      </c>
      <c r="JT14">
        <f>+data!BF9</f>
        <v>2.8393614245100021</v>
      </c>
      <c r="JU14">
        <f>+data!ET9</f>
        <v>2.8393614245100021</v>
      </c>
      <c r="JV14">
        <f>+data!LY9</f>
        <v>2.8393614245100021</v>
      </c>
      <c r="JW14">
        <f>+data!AB9</f>
        <v>14.092386843390013</v>
      </c>
      <c r="JX14">
        <f>+data!BG9</f>
        <v>2.1500894913600059</v>
      </c>
      <c r="JY14">
        <f>+data!EU9</f>
        <v>0.6767845034699993</v>
      </c>
      <c r="JZ14">
        <f>+data!LZ9</f>
        <v>0.19042324210999992</v>
      </c>
      <c r="KA14">
        <f>+data!MA9</f>
        <v>0.48636072797999935</v>
      </c>
      <c r="KB14">
        <f>+data!EV9</f>
        <v>0.25055829689000003</v>
      </c>
      <c r="KC14">
        <f>+data!MB9</f>
        <v>0.25055829689000003</v>
      </c>
      <c r="KD14">
        <f>+data!MC9</f>
        <v>0</v>
      </c>
      <c r="KE14">
        <f>+data!EW9</f>
        <v>0.7642302315299998</v>
      </c>
      <c r="KF14">
        <f>+data!MD9</f>
        <v>0.7642302315299998</v>
      </c>
      <c r="KG14">
        <f>+data!EX9</f>
        <v>0.4105078293900008</v>
      </c>
      <c r="KH14">
        <f>+data!ME9</f>
        <v>0.4105078293900008</v>
      </c>
      <c r="KI14">
        <f>+data!EY9</f>
        <v>4.800875265E-2</v>
      </c>
      <c r="KJ14">
        <f>+data!MF9</f>
        <v>4.800875265E-2</v>
      </c>
      <c r="KK14">
        <f>+data!BH9</f>
        <v>0.29411854766000012</v>
      </c>
      <c r="KL14">
        <f>+data!EZ9</f>
        <v>0.23855815097000008</v>
      </c>
      <c r="KM14">
        <f>+data!MG9</f>
        <v>0.23855815097000008</v>
      </c>
      <c r="KN14">
        <f>+data!FA9</f>
        <v>0</v>
      </c>
      <c r="KO14">
        <f>+data!MH9</f>
        <v>0</v>
      </c>
      <c r="KP14">
        <f>+data!MI9</f>
        <v>0</v>
      </c>
      <c r="KQ14">
        <f>+data!FB9</f>
        <v>5.5560317349999951E-2</v>
      </c>
      <c r="KR14">
        <f>+data!MJ9</f>
        <v>5.5560317349999951E-2</v>
      </c>
      <c r="KS14">
        <f>+data!BI9</f>
        <v>2.523584616079988</v>
      </c>
      <c r="KT14">
        <f>+data!FC9</f>
        <v>0.50872606914000018</v>
      </c>
      <c r="KU14">
        <f>+data!MK9</f>
        <v>0.50872606914000018</v>
      </c>
      <c r="KV14">
        <f>+data!FD9</f>
        <v>0.3592543547699999</v>
      </c>
      <c r="KW14">
        <f>+data!ML9</f>
        <v>0.3592543547699999</v>
      </c>
      <c r="KX14">
        <f>+data!FE9</f>
        <v>0.91655353162000075</v>
      </c>
      <c r="KY14">
        <f>+data!MM9</f>
        <v>0.91655353162000075</v>
      </c>
      <c r="KZ14">
        <f>+data!FF9</f>
        <v>0.73905300326000023</v>
      </c>
      <c r="LA14">
        <f>+data!MN9</f>
        <v>0.73905300326000023</v>
      </c>
      <c r="LB14">
        <f>+data!FG9</f>
        <v>0</v>
      </c>
      <c r="LC14">
        <f>+data!MO9</f>
        <v>0</v>
      </c>
      <c r="LD14">
        <f>+data!BJ9</f>
        <v>3.147966745690002</v>
      </c>
      <c r="LE14">
        <f>+data!FH9</f>
        <v>1.0849951789000007</v>
      </c>
      <c r="LF14">
        <f>+data!MP9</f>
        <v>1.0849951789000007</v>
      </c>
      <c r="LG14">
        <f>+data!FI9</f>
        <v>1.1883505271299957</v>
      </c>
      <c r="LH14">
        <f>+data!MQ9</f>
        <v>0</v>
      </c>
      <c r="LI14">
        <f>+data!MR9</f>
        <v>0</v>
      </c>
      <c r="LJ14">
        <f>+data!MS9</f>
        <v>0.82657215503000159</v>
      </c>
      <c r="LK14">
        <f>+data!MT9</f>
        <v>0.36179652924000005</v>
      </c>
      <c r="LL14">
        <f>+data!FJ9</f>
        <v>0</v>
      </c>
      <c r="LM14">
        <f>+data!MU9</f>
        <v>0</v>
      </c>
      <c r="LN14">
        <f>+data!BK9</f>
        <v>2.3404850292300061</v>
      </c>
      <c r="LO14">
        <f>+data!FK9</f>
        <v>0.69436542921999955</v>
      </c>
      <c r="LP14">
        <f>+data!MV9</f>
        <v>0.69436542921999955</v>
      </c>
      <c r="LQ14">
        <f>+data!FL9</f>
        <v>0.87351131726000319</v>
      </c>
      <c r="LR14">
        <f>+data!MW9</f>
        <v>0.87351131726000319</v>
      </c>
      <c r="LS14">
        <f>+data!FM9</f>
        <v>0.77260829182000157</v>
      </c>
      <c r="LT14">
        <f>+data!MX9</f>
        <v>0.77260829182000157</v>
      </c>
      <c r="LU14">
        <f>+data!FN9</f>
        <v>0</v>
      </c>
      <c r="LV14">
        <f>+data!MY9</f>
        <v>0</v>
      </c>
      <c r="LW14">
        <f>+data!BL9</f>
        <v>3.6361418287600036</v>
      </c>
      <c r="LX14">
        <f>+data!AC9</f>
        <v>1.2104779123100002</v>
      </c>
      <c r="LY14">
        <f>+data!BM9</f>
        <v>0</v>
      </c>
      <c r="LZ14">
        <f>+data!FO9</f>
        <v>0</v>
      </c>
      <c r="MA14">
        <f>+data!MZ9</f>
        <v>0</v>
      </c>
      <c r="MB14">
        <f>+data!BN9</f>
        <v>0</v>
      </c>
      <c r="MC14">
        <f>+data!FP9</f>
        <v>0</v>
      </c>
      <c r="MD14">
        <f>+data!NA9</f>
        <v>0</v>
      </c>
      <c r="ME14">
        <f>+data!BO9</f>
        <v>0</v>
      </c>
      <c r="MF14">
        <f>+data!FQ9</f>
        <v>0</v>
      </c>
      <c r="MG14">
        <f>+data!NB9</f>
        <v>0</v>
      </c>
      <c r="MH14">
        <f>+data!BP9</f>
        <v>0</v>
      </c>
      <c r="MI14">
        <f>+data!FR9</f>
        <v>0</v>
      </c>
      <c r="MJ14">
        <f>+data!NC9</f>
        <v>0</v>
      </c>
      <c r="MK14">
        <f>+data!BQ9</f>
        <v>0.31320385725000005</v>
      </c>
      <c r="ML14">
        <f>+data!FS9</f>
        <v>0.31320385725000005</v>
      </c>
      <c r="MM14">
        <f>+data!ND9</f>
        <v>0.31320385725000005</v>
      </c>
      <c r="MN14">
        <f>+data!AD9</f>
        <v>6.7884237537200063</v>
      </c>
      <c r="MO14">
        <f>+data!BR9</f>
        <v>5.1881870310500018</v>
      </c>
      <c r="MP14">
        <f>+data!FT9</f>
        <v>4.5754833140100075</v>
      </c>
      <c r="MQ14">
        <f>+data!NE9</f>
        <v>0</v>
      </c>
      <c r="MR14">
        <f>+data!NF9</f>
        <v>0</v>
      </c>
      <c r="MS14">
        <f>+data!FV9</f>
        <v>0.61270214702000003</v>
      </c>
      <c r="MT14">
        <f>+data!NG9</f>
        <v>0.61270214702000003</v>
      </c>
      <c r="MU14">
        <f>+data!BT9</f>
        <v>1.6002351263999939</v>
      </c>
      <c r="MV14">
        <f>+data!GB9</f>
        <v>1.6002351263999939</v>
      </c>
      <c r="MW14">
        <f>+data!NH9</f>
        <v>1.6002351263999939</v>
      </c>
      <c r="MX14">
        <f>+data!AF9</f>
        <v>14.900872722180031</v>
      </c>
      <c r="MY14">
        <f>+data!CC9</f>
        <v>2.8326221285299868</v>
      </c>
      <c r="MZ14">
        <f>+data!IA9</f>
        <v>1.2758683996299953</v>
      </c>
      <c r="NA14">
        <f>+data!NI9</f>
        <v>1.2758683996299953</v>
      </c>
      <c r="NB14">
        <f>+data!IC9</f>
        <v>5.634708451999991E-2</v>
      </c>
      <c r="NC14">
        <f>+data!NJ9</f>
        <v>5.634708451999991E-2</v>
      </c>
      <c r="ND14">
        <f>+data!IE9</f>
        <v>1.5004001342899989</v>
      </c>
      <c r="NE14">
        <f>+data!NK9</f>
        <v>1.5004001342899989</v>
      </c>
      <c r="NF14">
        <f>+data!CE9</f>
        <v>0</v>
      </c>
      <c r="NG14">
        <f>+data!IG9</f>
        <v>0</v>
      </c>
      <c r="NH14">
        <f>+data!NL9</f>
        <v>0</v>
      </c>
      <c r="NI14">
        <f>+data!CG9</f>
        <v>0.81904156902000314</v>
      </c>
      <c r="NJ14">
        <f>+data!IL9</f>
        <v>0.49654365552000146</v>
      </c>
      <c r="NK14">
        <f>+data!NM9</f>
        <v>0.49654365552000146</v>
      </c>
      <c r="NL14">
        <f>+data!IM9</f>
        <v>0.32250032950000068</v>
      </c>
      <c r="NM14">
        <f>+data!NN9</f>
        <v>0</v>
      </c>
      <c r="NN14">
        <f>+data!NO9</f>
        <v>0</v>
      </c>
      <c r="NO14">
        <f>+data!CH9</f>
        <v>0.31331722921000027</v>
      </c>
      <c r="NP14">
        <f>+data!IN9</f>
        <v>0.31331722921000027</v>
      </c>
      <c r="NQ14">
        <f>+data!NP9</f>
        <v>0.15364350318999997</v>
      </c>
      <c r="NR14">
        <f>+data!NQ9</f>
        <v>0.15967391226000013</v>
      </c>
      <c r="NS14">
        <f>+data!CI9</f>
        <v>10.01982414808</v>
      </c>
      <c r="NT14">
        <f>+data!IO9</f>
        <v>0</v>
      </c>
      <c r="NU14">
        <f>+data!NR9</f>
        <v>0</v>
      </c>
      <c r="NV14">
        <f>+data!IP9</f>
        <v>5.6138531688499791</v>
      </c>
      <c r="NW14">
        <f>+data!NS9</f>
        <v>5.6138531688499791</v>
      </c>
      <c r="NX14">
        <f>+data!IQ9</f>
        <v>1.9499747963999985</v>
      </c>
      <c r="NY14">
        <f>+data!NT9</f>
        <v>1.9499747963999985</v>
      </c>
      <c r="NZ14">
        <f>+data!IR9</f>
        <v>2.4559979976099982</v>
      </c>
      <c r="OA14">
        <f>+data!NU9</f>
        <v>2.4559979976099982</v>
      </c>
      <c r="OB14">
        <f>+data!CJ9</f>
        <v>0.2545379376199996</v>
      </c>
      <c r="OC14">
        <f>+data!IS9</f>
        <v>0.2545379376199996</v>
      </c>
      <c r="OD14">
        <f>+data!NV9</f>
        <v>0.2545379376199996</v>
      </c>
      <c r="OE14">
        <f>+data!CK9</f>
        <v>0.60362332196999857</v>
      </c>
      <c r="OF14">
        <f>+data!IT9</f>
        <v>0.60362332196999857</v>
      </c>
      <c r="OG14">
        <f>+data!NW9</f>
        <v>0.11849394470000021</v>
      </c>
    </row>
    <row r="15" spans="7:397">
      <c r="J15" s="4">
        <f t="shared" si="340"/>
        <v>0.13360331830096925</v>
      </c>
      <c r="K15" t="s">
        <v>395</v>
      </c>
      <c r="AC15">
        <f>+data!S10</f>
        <v>150.74623827082988</v>
      </c>
      <c r="AD15">
        <f>+data!T10</f>
        <v>14.505097664380054</v>
      </c>
      <c r="AE15">
        <f>+data!AE10</f>
        <v>13.032210466300047</v>
      </c>
      <c r="AF15">
        <f>+data!BS10</f>
        <v>0</v>
      </c>
      <c r="AG15">
        <f>+data!FU10</f>
        <v>0</v>
      </c>
      <c r="AH15">
        <f>+data!FW10</f>
        <v>0</v>
      </c>
      <c r="AI15">
        <f>+data!FX10</f>
        <v>0</v>
      </c>
      <c r="AJ15">
        <f>+data!FY10</f>
        <v>0</v>
      </c>
      <c r="AK15">
        <f>+data!FZ10</f>
        <v>0</v>
      </c>
      <c r="AL15">
        <f>+data!GA10</f>
        <v>0</v>
      </c>
      <c r="AM15">
        <f>+data!BU10</f>
        <v>0</v>
      </c>
      <c r="AN15">
        <f>+data!GC10</f>
        <v>0</v>
      </c>
      <c r="AO15">
        <f>+data!GD10</f>
        <v>0</v>
      </c>
      <c r="AP15">
        <f>+data!GE10</f>
        <v>0</v>
      </c>
      <c r="AQ15">
        <f>+data!GF10</f>
        <v>0</v>
      </c>
      <c r="AR15">
        <f>+data!GG10</f>
        <v>0</v>
      </c>
      <c r="AS15">
        <f>+data!GH10</f>
        <v>0</v>
      </c>
      <c r="AT15">
        <f>+data!GI10</f>
        <v>0</v>
      </c>
      <c r="AU15">
        <f>+data!BV10</f>
        <v>0</v>
      </c>
      <c r="AV15">
        <f>+data!GJ10</f>
        <v>0</v>
      </c>
      <c r="AW15">
        <f>+data!GK10</f>
        <v>0</v>
      </c>
      <c r="AX15">
        <f>+data!GL10</f>
        <v>0</v>
      </c>
      <c r="AY15">
        <f>+data!GM10</f>
        <v>0</v>
      </c>
      <c r="AZ15">
        <f>+data!BW10</f>
        <v>0</v>
      </c>
      <c r="BA15">
        <f>+data!GN10</f>
        <v>0</v>
      </c>
      <c r="BB15">
        <f>+data!GO10</f>
        <v>0</v>
      </c>
      <c r="BC15">
        <f>+data!GP10</f>
        <v>0</v>
      </c>
      <c r="BD15">
        <f>+data!GQ10</f>
        <v>0</v>
      </c>
      <c r="BE15">
        <f>+data!GR10</f>
        <v>0</v>
      </c>
      <c r="BF15">
        <f>+data!GS10</f>
        <v>0</v>
      </c>
      <c r="BG15">
        <f>+data!GT10</f>
        <v>0</v>
      </c>
      <c r="BH15">
        <f>+data!BX10</f>
        <v>0</v>
      </c>
      <c r="BI15">
        <f>+data!GU10</f>
        <v>0</v>
      </c>
      <c r="BJ15">
        <f>+data!GV10</f>
        <v>0</v>
      </c>
      <c r="BK15">
        <f>+data!GW10</f>
        <v>0</v>
      </c>
      <c r="BL15">
        <f>+data!GX10</f>
        <v>0</v>
      </c>
      <c r="BM15">
        <f>+data!GY10</f>
        <v>0</v>
      </c>
      <c r="BN15">
        <f>+data!BY10</f>
        <v>0</v>
      </c>
      <c r="BO15">
        <f>+data!GZ10</f>
        <v>0</v>
      </c>
      <c r="BP15">
        <f>+data!HA10</f>
        <v>0</v>
      </c>
      <c r="BQ15">
        <f>+data!HB10</f>
        <v>0</v>
      </c>
      <c r="BR15">
        <f>+data!HC10</f>
        <v>0</v>
      </c>
      <c r="BS15">
        <f>+data!HD10</f>
        <v>0</v>
      </c>
      <c r="BT15">
        <f>+data!HE10</f>
        <v>0</v>
      </c>
      <c r="BU15">
        <f>+data!HF10</f>
        <v>0</v>
      </c>
      <c r="BV15">
        <f>+data!HG10</f>
        <v>0</v>
      </c>
      <c r="BW15">
        <f>+data!HH10</f>
        <v>0</v>
      </c>
      <c r="BX15">
        <f>+data!BZ10</f>
        <v>0</v>
      </c>
      <c r="BY15">
        <f>+data!HI10</f>
        <v>0</v>
      </c>
      <c r="BZ15">
        <f>+data!HJ10</f>
        <v>0</v>
      </c>
      <c r="CA15">
        <f>+data!HK10</f>
        <v>0</v>
      </c>
      <c r="CB15">
        <f>+data!HL10</f>
        <v>0</v>
      </c>
      <c r="CC15">
        <f>+data!HM10</f>
        <v>0</v>
      </c>
      <c r="CD15">
        <f>+data!HN10</f>
        <v>0</v>
      </c>
      <c r="CE15">
        <f>+data!HO10</f>
        <v>0</v>
      </c>
      <c r="CF15">
        <f>+data!HP10</f>
        <v>0</v>
      </c>
      <c r="CG15">
        <f>+data!CA10</f>
        <v>0</v>
      </c>
      <c r="CH15">
        <f>+data!HQ10</f>
        <v>0</v>
      </c>
      <c r="CI15">
        <f>+data!HR10</f>
        <v>0</v>
      </c>
      <c r="CJ15">
        <f>+data!HS10</f>
        <v>0</v>
      </c>
      <c r="CK15">
        <f>+data!HT10</f>
        <v>0</v>
      </c>
      <c r="CL15">
        <f>+data!HU10</f>
        <v>0</v>
      </c>
      <c r="CM15">
        <f>+data!HV10</f>
        <v>0</v>
      </c>
      <c r="CN15">
        <f>+data!CB10</f>
        <v>0</v>
      </c>
      <c r="CO15">
        <f>+data!HW10</f>
        <v>0</v>
      </c>
      <c r="CP15">
        <f>+data!HX10</f>
        <v>0</v>
      </c>
      <c r="CQ15">
        <f>+data!HY10</f>
        <v>0</v>
      </c>
      <c r="CR15">
        <f>+data!HZ10</f>
        <v>0</v>
      </c>
      <c r="CS15">
        <f>+data!AG10</f>
        <v>1.4728854730400038</v>
      </c>
      <c r="CT15">
        <f>+data!CD10</f>
        <v>0</v>
      </c>
      <c r="CU15">
        <f>+data!IB10</f>
        <v>0</v>
      </c>
      <c r="CV15">
        <f>+data!ID10</f>
        <v>0</v>
      </c>
      <c r="CW15">
        <f>+data!IF10</f>
        <v>0</v>
      </c>
      <c r="CX15">
        <f>+data!CF10</f>
        <v>0</v>
      </c>
      <c r="CY15">
        <f>+data!IH10</f>
        <v>0</v>
      </c>
      <c r="CZ15">
        <f>+data!II10</f>
        <v>0</v>
      </c>
      <c r="DA15">
        <f>+data!IJ10</f>
        <v>0</v>
      </c>
      <c r="DB15">
        <f>+data!IK10</f>
        <v>0</v>
      </c>
      <c r="DC15">
        <f>+data!U10</f>
        <v>2.0673633380000083</v>
      </c>
      <c r="DD15">
        <f>+data!AH10</f>
        <v>1.3723987771100057</v>
      </c>
      <c r="DE15">
        <f>+data!CL10</f>
        <v>0</v>
      </c>
      <c r="DF15">
        <f>+data!IU10</f>
        <v>0</v>
      </c>
      <c r="DG15">
        <f>+data!CM10</f>
        <v>0</v>
      </c>
      <c r="DH15">
        <f>+data!IV10</f>
        <v>0</v>
      </c>
      <c r="DI15">
        <f>+data!IW10</f>
        <v>0</v>
      </c>
      <c r="DJ15">
        <f>+data!CN10</f>
        <v>0</v>
      </c>
      <c r="DK15">
        <f>+data!IX10</f>
        <v>0</v>
      </c>
      <c r="DL15">
        <f>+data!AI10</f>
        <v>0.69496301228000057</v>
      </c>
      <c r="DM15">
        <f>+data!CO10</f>
        <v>0</v>
      </c>
      <c r="DN15">
        <f>+data!IY10</f>
        <v>0</v>
      </c>
      <c r="DO15">
        <f>+data!IZ10</f>
        <v>0</v>
      </c>
      <c r="DP15">
        <f>+data!JA10</f>
        <v>0</v>
      </c>
      <c r="DQ15">
        <f>+data!AJ10</f>
        <v>0</v>
      </c>
      <c r="DR15">
        <f>+data!CP10</f>
        <v>0</v>
      </c>
      <c r="DS15">
        <f>+data!V10</f>
        <v>6.9011025191099904</v>
      </c>
      <c r="DT15">
        <f>+data!AK10</f>
        <v>5.5804142711699942</v>
      </c>
      <c r="DU15">
        <f>+data!CQ10</f>
        <v>8.5232466620000044E-2</v>
      </c>
      <c r="DV15">
        <f>+data!JB10</f>
        <v>8.5232466620000044E-2</v>
      </c>
      <c r="DW15">
        <f>+data!CR10</f>
        <v>5.1854546440600116</v>
      </c>
      <c r="DX15">
        <f>+data!JC10</f>
        <v>1.6412660890799973</v>
      </c>
      <c r="DY15">
        <f>+data!JD10</f>
        <v>2.8586302806999959</v>
      </c>
      <c r="DZ15">
        <f>+data!JE10</f>
        <v>0.50415341706999983</v>
      </c>
      <c r="EA15">
        <f>+data!CS10</f>
        <v>0.15342830728000004</v>
      </c>
      <c r="EB15">
        <f>+data!JF10</f>
        <v>0.15342830728000004</v>
      </c>
      <c r="EC15">
        <f>+data!CT10</f>
        <v>0.15630332163999983</v>
      </c>
      <c r="ED15">
        <f>+data!JG10</f>
        <v>0.15630332163999983</v>
      </c>
      <c r="EE15">
        <f>+data!AL10</f>
        <v>1.3206893020399968</v>
      </c>
      <c r="EF15">
        <f>+data!CU10</f>
        <v>1.2609627130799999</v>
      </c>
      <c r="EG15">
        <f>+data!JH10</f>
        <v>0.40443345661999891</v>
      </c>
      <c r="EH15">
        <f>+data!JI10</f>
        <v>0.67201210990999938</v>
      </c>
      <c r="EI15">
        <f>+data!JJ10</f>
        <v>0.18451324652999995</v>
      </c>
      <c r="EJ15">
        <f>+data!CV10</f>
        <v>4.0432183450000062E-2</v>
      </c>
      <c r="EK15">
        <f>+data!JK10</f>
        <v>4.0432183450000062E-2</v>
      </c>
      <c r="EL15">
        <f>+data!W10</f>
        <v>39.742464806860042</v>
      </c>
      <c r="EM15">
        <f>+data!AM10</f>
        <v>7.9826856373700128</v>
      </c>
      <c r="EN15">
        <f>+data!CW10</f>
        <v>7.6268471788700074</v>
      </c>
      <c r="EO15">
        <f>+data!JL10</f>
        <v>7.6268471788700074</v>
      </c>
      <c r="EP15">
        <f>+data!CX10</f>
        <v>0.35583838932000017</v>
      </c>
      <c r="EQ15">
        <f>+data!JM10</f>
        <v>0.35583838932000017</v>
      </c>
      <c r="ER15">
        <f>+data!AN10</f>
        <v>19.082730247129987</v>
      </c>
      <c r="ES15">
        <f>+data!CY10</f>
        <v>18.160576993520007</v>
      </c>
      <c r="ET15">
        <f>+data!JN10</f>
        <v>18.160576993520007</v>
      </c>
      <c r="EU15">
        <f>+data!CZ10</f>
        <v>0.92215349049000106</v>
      </c>
      <c r="EV15">
        <f>+data!JO10</f>
        <v>0.52473697758000015</v>
      </c>
      <c r="EW15">
        <f>+data!JP10</f>
        <v>0.39741645307999957</v>
      </c>
      <c r="EX15">
        <f>+data!AO10</f>
        <v>1.611399297579998</v>
      </c>
      <c r="EY15">
        <f>+data!DA10</f>
        <v>0.66835233127000093</v>
      </c>
      <c r="EZ15">
        <f>+data!JQ10</f>
        <v>0.66835233127000093</v>
      </c>
      <c r="FA15">
        <f>+data!DB10</f>
        <v>0.94304705437000136</v>
      </c>
      <c r="FB15">
        <f>+data!JR10</f>
        <v>0.94304705437000136</v>
      </c>
      <c r="FC15">
        <f>+data!AP10</f>
        <v>0</v>
      </c>
      <c r="FD15">
        <f>+data!DC10</f>
        <v>0</v>
      </c>
      <c r="FE15">
        <f>+data!JS10</f>
        <v>0</v>
      </c>
      <c r="FF15">
        <f>+data!DD10</f>
        <v>0</v>
      </c>
      <c r="FG15">
        <f>+data!JT10</f>
        <v>0</v>
      </c>
      <c r="FH15">
        <f>+data!DE10</f>
        <v>0</v>
      </c>
      <c r="FI15">
        <f>+data!JU10</f>
        <v>0</v>
      </c>
      <c r="FJ15">
        <f>+data!DF10</f>
        <v>0</v>
      </c>
      <c r="FK15">
        <f>+data!JV10</f>
        <v>0</v>
      </c>
      <c r="FL15">
        <f>+data!AQ10</f>
        <v>7.2564593095699781</v>
      </c>
      <c r="FM15">
        <f>+data!DG10</f>
        <v>2.9233238911500026</v>
      </c>
      <c r="FN15">
        <f>+data!JW10</f>
        <v>2.9233238911500026</v>
      </c>
      <c r="FO15">
        <f>+data!DH10</f>
        <v>2.018603442620003</v>
      </c>
      <c r="FP15">
        <f>+data!JX10</f>
        <v>0</v>
      </c>
      <c r="FQ15">
        <f>+data!JY10</f>
        <v>0</v>
      </c>
      <c r="FR15">
        <f>+data!DI10</f>
        <v>1.7461459636999999</v>
      </c>
      <c r="FS15">
        <f>+data!JZ10</f>
        <v>1.7461459636999999</v>
      </c>
      <c r="FT15">
        <f>+data!DJ10</f>
        <v>0.14604668640000001</v>
      </c>
      <c r="FU15">
        <f>+data!KA10</f>
        <v>0.14604668640000001</v>
      </c>
      <c r="FV15">
        <f>+data!DK10</f>
        <v>0.42233068323999973</v>
      </c>
      <c r="FW15">
        <f>+data!KB10</f>
        <v>0.42233068323999973</v>
      </c>
      <c r="FX15">
        <f>+data!X10</f>
        <v>7.6803584921000292</v>
      </c>
      <c r="FY15">
        <f>+data!AR10</f>
        <v>3.1960919190599952</v>
      </c>
      <c r="FZ15">
        <f>+data!DL10</f>
        <v>2.8427752450999937</v>
      </c>
      <c r="GA15">
        <f>+data!KC10</f>
        <v>2.8427752450999937</v>
      </c>
      <c r="GB15">
        <f>+data!DM10</f>
        <v>0.31193444834000006</v>
      </c>
      <c r="GC15">
        <f>+data!KD10</f>
        <v>0.31193444834000006</v>
      </c>
      <c r="GD15">
        <f>+data!DN10</f>
        <v>4.1382762150000009E-2</v>
      </c>
      <c r="GE15">
        <f>+data!KE10</f>
        <v>4.1382762150000009E-2</v>
      </c>
      <c r="GF15">
        <f>+data!AS10</f>
        <v>0.54234801887999873</v>
      </c>
      <c r="GG15">
        <f>+data!DO10</f>
        <v>0.54234801887999873</v>
      </c>
      <c r="GH15">
        <f>+data!KF10</f>
        <v>0.54234801887999873</v>
      </c>
      <c r="GI15">
        <f>+data!AT10</f>
        <v>1.1745399215199976</v>
      </c>
      <c r="GJ15">
        <f>+data!DP10</f>
        <v>0.80913995533000038</v>
      </c>
      <c r="GK15">
        <f>+data!KG10</f>
        <v>0.15258955219000009</v>
      </c>
      <c r="GL15">
        <f>+data!KH10</f>
        <v>0.30232748664999975</v>
      </c>
      <c r="GM15">
        <f>+data!KI10</f>
        <v>0</v>
      </c>
      <c r="GN15">
        <f>+data!KJ10</f>
        <v>0</v>
      </c>
      <c r="GO15">
        <f>+data!KK10</f>
        <v>0</v>
      </c>
      <c r="GP15">
        <f>+data!KL10</f>
        <v>0</v>
      </c>
      <c r="GQ15">
        <f>+data!KM10</f>
        <v>0.32398644123000003</v>
      </c>
      <c r="GR15">
        <f>+data!DQ10</f>
        <v>0.29746687543999989</v>
      </c>
      <c r="GS15">
        <f>+data!KN10</f>
        <v>0.29746687543999989</v>
      </c>
      <c r="GT15">
        <f>+data!DR10</f>
        <v>6.793225636999993E-2</v>
      </c>
      <c r="GU15">
        <f>+data!KO10</f>
        <v>6.793225636999993E-2</v>
      </c>
      <c r="GV15">
        <f>+data!AU10</f>
        <v>0.52176071892999998</v>
      </c>
      <c r="GW15">
        <f>+data!DS10</f>
        <v>1.1942064970000006E-2</v>
      </c>
      <c r="GX15">
        <f>+data!KP10</f>
        <v>0</v>
      </c>
      <c r="GY15">
        <f>+data!KQ10</f>
        <v>0</v>
      </c>
      <c r="GZ15">
        <f>+data!KR10</f>
        <v>0</v>
      </c>
      <c r="HA15">
        <f>+data!KS10</f>
        <v>1.1942064970000006E-2</v>
      </c>
      <c r="HB15">
        <f>+data!AV10</f>
        <v>0.86690772312000075</v>
      </c>
      <c r="HC15">
        <f>+data!DT10</f>
        <v>0</v>
      </c>
      <c r="HD15">
        <f>+data!KT10</f>
        <v>0</v>
      </c>
      <c r="HE15">
        <f>+data!DU10</f>
        <v>0</v>
      </c>
      <c r="HF15">
        <f>+data!KU10</f>
        <v>0</v>
      </c>
      <c r="HG15">
        <f>+data!AW10</f>
        <v>1.0341026811099996</v>
      </c>
      <c r="HH15">
        <f>+data!DV10</f>
        <v>0.53856595952999953</v>
      </c>
      <c r="HI15">
        <f>+data!KV10</f>
        <v>0</v>
      </c>
      <c r="HJ15">
        <f>+data!KW10</f>
        <v>0</v>
      </c>
      <c r="HK15">
        <f>+data!DW10</f>
        <v>0.49553554511999981</v>
      </c>
      <c r="HL15">
        <f>+data!KX10</f>
        <v>0</v>
      </c>
      <c r="HM15">
        <f>+data!KY10</f>
        <v>0</v>
      </c>
      <c r="HN15">
        <f>+data!Y10</f>
        <v>6.6193972767500187</v>
      </c>
      <c r="HO15">
        <f>+data!AX10</f>
        <v>2.9059381035499934</v>
      </c>
      <c r="HP15">
        <f>+data!DX10</f>
        <v>1.3634604280000031</v>
      </c>
      <c r="HQ15">
        <f>+data!KZ10</f>
        <v>1.3634604280000031</v>
      </c>
      <c r="HR15">
        <f>+data!DY10</f>
        <v>0.34351793426000032</v>
      </c>
      <c r="HS15">
        <f>+data!LA10</f>
        <v>0.34351793426000032</v>
      </c>
      <c r="HT15">
        <f>+data!DZ10</f>
        <v>1.1989635127699987</v>
      </c>
      <c r="HU15">
        <f>+data!LB10</f>
        <v>1.1989635127699987</v>
      </c>
      <c r="HV15">
        <f>+data!AY10</f>
        <v>3.2456504606500056</v>
      </c>
      <c r="HW15">
        <f>+data!EA10</f>
        <v>2.1311701550200057</v>
      </c>
      <c r="HX15">
        <f>+data!LC10</f>
        <v>2.1311701550200057</v>
      </c>
      <c r="HY15">
        <f>+data!EB10</f>
        <v>0.78958286817999901</v>
      </c>
      <c r="HZ15">
        <f>+data!LD10</f>
        <v>0.78958286817999901</v>
      </c>
      <c r="IA15">
        <f>+data!EC10</f>
        <v>0.32488512768999978</v>
      </c>
      <c r="IB15">
        <f>+data!LE10</f>
        <v>0</v>
      </c>
      <c r="IC15">
        <f>+data!LF10</f>
        <v>0</v>
      </c>
      <c r="ID15">
        <f>+data!LG10</f>
        <v>0.32488512768999978</v>
      </c>
      <c r="IE15">
        <f>+data!AZ10</f>
        <v>0.45325110693999987</v>
      </c>
      <c r="IF15">
        <f>+data!Z10</f>
        <v>23.868470828829945</v>
      </c>
      <c r="IG15">
        <f>+data!BA10</f>
        <v>9.0987055089399895</v>
      </c>
      <c r="IH15">
        <f>+data!ED10</f>
        <v>7.8486167565699994</v>
      </c>
      <c r="II15">
        <f>+data!LH10</f>
        <v>3.7667487674600002</v>
      </c>
      <c r="IJ15">
        <f>+data!LI10</f>
        <v>4.0818679891100018</v>
      </c>
      <c r="IK15">
        <f>+data!EE10</f>
        <v>0.20285454660000007</v>
      </c>
      <c r="IL15">
        <f>+data!LJ10</f>
        <v>0.20285454660000007</v>
      </c>
      <c r="IM15">
        <f>+data!EF10</f>
        <v>0.26842465663000004</v>
      </c>
      <c r="IN15">
        <f>+data!LK10</f>
        <v>0.26842465663000004</v>
      </c>
      <c r="IO15">
        <f>+data!EG10</f>
        <v>1.1009956999999999E-4</v>
      </c>
      <c r="IP15">
        <f>+data!LL10</f>
        <v>1.1009956999999999E-4</v>
      </c>
      <c r="IQ15">
        <f>+data!BB10</f>
        <v>13.360046791579908</v>
      </c>
      <c r="IR15">
        <f>+data!EH10</f>
        <v>1.0286947011400003</v>
      </c>
      <c r="IS15">
        <f>+data!LM10</f>
        <v>1.0286947011400003</v>
      </c>
      <c r="IT15">
        <f>+data!EI10</f>
        <v>6.1781708259599952</v>
      </c>
      <c r="IU15">
        <f>+data!LN10</f>
        <v>6.1781708259599952</v>
      </c>
      <c r="IV15">
        <f>+data!EJ10</f>
        <v>2.4498531427800065</v>
      </c>
      <c r="IW15">
        <f>+data!LO10</f>
        <v>2.4498531427800065</v>
      </c>
      <c r="IX15">
        <f>+data!EK10</f>
        <v>3.7033381962400092</v>
      </c>
      <c r="IY15">
        <f>+data!LP10</f>
        <v>3.7033381962400092</v>
      </c>
      <c r="IZ15">
        <f>+data!BC10</f>
        <v>2.2475123189900001</v>
      </c>
      <c r="JA15">
        <f>+data!EL10</f>
        <v>0</v>
      </c>
      <c r="JB15">
        <f>+data!LQ10</f>
        <v>0</v>
      </c>
      <c r="JC15">
        <f>+data!EM10</f>
        <v>0</v>
      </c>
      <c r="JD15">
        <f>+data!LR10</f>
        <v>0</v>
      </c>
      <c r="JE15">
        <f>+data!EN10</f>
        <v>0.7207160687899995</v>
      </c>
      <c r="JF15">
        <f>+data!LS10</f>
        <v>0.7207160687899995</v>
      </c>
      <c r="JG15">
        <f>+data!EO10</f>
        <v>0</v>
      </c>
      <c r="JH15">
        <f>+data!LT10</f>
        <v>0</v>
      </c>
      <c r="JI15">
        <f>+data!EP10</f>
        <v>0</v>
      </c>
      <c r="JJ15">
        <f>+data!LU10</f>
        <v>0</v>
      </c>
      <c r="JK15">
        <f>+data!EQ10</f>
        <v>0</v>
      </c>
      <c r="JL15">
        <f>+data!LV10</f>
        <v>0</v>
      </c>
      <c r="JM15">
        <f>+data!AA10</f>
        <v>3.3928940751300019</v>
      </c>
      <c r="JN15">
        <f>+data!BD10</f>
        <v>0.30067559064000055</v>
      </c>
      <c r="JO15">
        <f>+data!ER10</f>
        <v>0.30067559064000055</v>
      </c>
      <c r="JP15">
        <f>+data!LW10</f>
        <v>0</v>
      </c>
      <c r="JQ15">
        <f>+data!BE10</f>
        <v>0.20928063415000001</v>
      </c>
      <c r="JR15">
        <f>+data!ES10</f>
        <v>0.20928063415000001</v>
      </c>
      <c r="JS15">
        <f>+data!LX10</f>
        <v>0.20928063415000001</v>
      </c>
      <c r="JT15">
        <f>+data!BF10</f>
        <v>2.8829437390000092</v>
      </c>
      <c r="JU15">
        <f>+data!ET10</f>
        <v>2.8829437390000092</v>
      </c>
      <c r="JV15">
        <f>+data!LY10</f>
        <v>2.8829437390000092</v>
      </c>
      <c r="JW15">
        <f>+data!AB10</f>
        <v>16.581945904149954</v>
      </c>
      <c r="JX15">
        <f>+data!BG10</f>
        <v>2.5346080011600032</v>
      </c>
      <c r="JY15">
        <f>+data!EU10</f>
        <v>0.79873823782000053</v>
      </c>
      <c r="JZ15">
        <f>+data!LZ10</f>
        <v>0.18787879923000023</v>
      </c>
      <c r="KA15">
        <f>+data!MA10</f>
        <v>0.61085953225000034</v>
      </c>
      <c r="KB15">
        <f>+data!EV10</f>
        <v>0.27306254940000041</v>
      </c>
      <c r="KC15">
        <f>+data!MB10</f>
        <v>0.27306254940000041</v>
      </c>
      <c r="KD15">
        <f>+data!MC10</f>
        <v>0</v>
      </c>
      <c r="KE15">
        <f>+data!EW10</f>
        <v>0.91219350412999889</v>
      </c>
      <c r="KF15">
        <f>+data!MD10</f>
        <v>0.91219350412999889</v>
      </c>
      <c r="KG15">
        <f>+data!EX10</f>
        <v>0.49987153459000017</v>
      </c>
      <c r="KH15">
        <f>+data!ME10</f>
        <v>0.49987153459000017</v>
      </c>
      <c r="KI15">
        <f>+data!EY10</f>
        <v>5.0739588390000021E-2</v>
      </c>
      <c r="KJ15">
        <f>+data!MF10</f>
        <v>5.0739588390000021E-2</v>
      </c>
      <c r="KK15">
        <f>+data!BH10</f>
        <v>0.49927208880000024</v>
      </c>
      <c r="KL15">
        <f>+data!EZ10</f>
        <v>0.45803680692000043</v>
      </c>
      <c r="KM15">
        <f>+data!MG10</f>
        <v>0.45803680692000043</v>
      </c>
      <c r="KN15">
        <f>+data!FA10</f>
        <v>0</v>
      </c>
      <c r="KO15">
        <f>+data!MH10</f>
        <v>0</v>
      </c>
      <c r="KP15">
        <f>+data!MI10</f>
        <v>0</v>
      </c>
      <c r="KQ15">
        <f>+data!FB10</f>
        <v>4.1235171739999993E-2</v>
      </c>
      <c r="KR15">
        <f>+data!MJ10</f>
        <v>4.1235171739999993E-2</v>
      </c>
      <c r="KS15">
        <f>+data!BI10</f>
        <v>2.7745200363300047</v>
      </c>
      <c r="KT15">
        <f>+data!FC10</f>
        <v>0.54448928399999974</v>
      </c>
      <c r="KU15">
        <f>+data!MK10</f>
        <v>0.54448928399999974</v>
      </c>
      <c r="KV15">
        <f>+data!FD10</f>
        <v>0.38997720148999959</v>
      </c>
      <c r="KW15">
        <f>+data!ML10</f>
        <v>0.38997720148999959</v>
      </c>
      <c r="KX15">
        <f>+data!FE10</f>
        <v>1.0468174175400005</v>
      </c>
      <c r="KY15">
        <f>+data!MM10</f>
        <v>1.0468174175400005</v>
      </c>
      <c r="KZ15">
        <f>+data!FF10</f>
        <v>0.79323942399000025</v>
      </c>
      <c r="LA15">
        <f>+data!MN10</f>
        <v>0.79323942399000025</v>
      </c>
      <c r="LB15">
        <f>+data!FG10</f>
        <v>0</v>
      </c>
      <c r="LC15">
        <f>+data!MO10</f>
        <v>0</v>
      </c>
      <c r="LD15">
        <f>+data!BJ10</f>
        <v>3.6664423569600113</v>
      </c>
      <c r="LE15">
        <f>+data!FH10</f>
        <v>1.3807664525600047</v>
      </c>
      <c r="LF15">
        <f>+data!MP10</f>
        <v>1.3807664525600047</v>
      </c>
      <c r="LG15">
        <f>+data!FI10</f>
        <v>1.2697072502599955</v>
      </c>
      <c r="LH15">
        <f>+data!MQ10</f>
        <v>0</v>
      </c>
      <c r="LI15">
        <f>+data!MR10</f>
        <v>0</v>
      </c>
      <c r="LJ15">
        <f>+data!MS10</f>
        <v>0.85970164814000138</v>
      </c>
      <c r="LK15">
        <f>+data!MT10</f>
        <v>0.41002556624000025</v>
      </c>
      <c r="LL15">
        <f>+data!FJ10</f>
        <v>0</v>
      </c>
      <c r="LM15">
        <f>+data!MU10</f>
        <v>0</v>
      </c>
      <c r="LN15">
        <f>+data!BK10</f>
        <v>2.6509737370499962</v>
      </c>
      <c r="LO15">
        <f>+data!FK10</f>
        <v>0.82586583019000048</v>
      </c>
      <c r="LP15">
        <f>+data!MV10</f>
        <v>0.82586583019000048</v>
      </c>
      <c r="LQ15">
        <f>+data!FL10</f>
        <v>0.96797630102999865</v>
      </c>
      <c r="LR15">
        <f>+data!MW10</f>
        <v>0.96797630102999865</v>
      </c>
      <c r="LS15">
        <f>+data!FM10</f>
        <v>0.8571315497100005</v>
      </c>
      <c r="LT15">
        <f>+data!MX10</f>
        <v>0.8571315497100005</v>
      </c>
      <c r="LU15">
        <f>+data!FN10</f>
        <v>0</v>
      </c>
      <c r="LV15">
        <f>+data!MY10</f>
        <v>0</v>
      </c>
      <c r="LW15">
        <f>+data!BL10</f>
        <v>4.4561325316500016</v>
      </c>
      <c r="LX15">
        <f>+data!AC10</f>
        <v>1.2642757678300005</v>
      </c>
      <c r="LY15">
        <f>+data!BM10</f>
        <v>0</v>
      </c>
      <c r="LZ15">
        <f>+data!FO10</f>
        <v>0</v>
      </c>
      <c r="MA15">
        <f>+data!MZ10</f>
        <v>0</v>
      </c>
      <c r="MB15">
        <f>+data!BN10</f>
        <v>0</v>
      </c>
      <c r="MC15">
        <f>+data!FP10</f>
        <v>0</v>
      </c>
      <c r="MD15">
        <f>+data!NA10</f>
        <v>0</v>
      </c>
      <c r="ME15">
        <f>+data!BO10</f>
        <v>0</v>
      </c>
      <c r="MF15">
        <f>+data!FQ10</f>
        <v>0</v>
      </c>
      <c r="MG15">
        <f>+data!NB10</f>
        <v>0</v>
      </c>
      <c r="MH15">
        <f>+data!BP10</f>
        <v>0</v>
      </c>
      <c r="MI15">
        <f>+data!FR10</f>
        <v>0</v>
      </c>
      <c r="MJ15">
        <f>+data!NC10</f>
        <v>0</v>
      </c>
      <c r="MK15">
        <f>+data!BQ10</f>
        <v>0.32070527381000002</v>
      </c>
      <c r="ML15">
        <f>+data!FS10</f>
        <v>0.32070527381000002</v>
      </c>
      <c r="MM15">
        <f>+data!ND10</f>
        <v>0.32070527381000002</v>
      </c>
      <c r="MN15">
        <f>+data!AD10</f>
        <v>8.1219387440200066</v>
      </c>
      <c r="MO15">
        <f>+data!BR10</f>
        <v>6.2022448797499781</v>
      </c>
      <c r="MP15">
        <f>+data!FT10</f>
        <v>5.4800224326500091</v>
      </c>
      <c r="MQ15">
        <f>+data!NE10</f>
        <v>0</v>
      </c>
      <c r="MR15">
        <f>+data!NF10</f>
        <v>0</v>
      </c>
      <c r="MS15">
        <f>+data!FV10</f>
        <v>0.72222256915000071</v>
      </c>
      <c r="MT15">
        <f>+data!NG10</f>
        <v>0.72222256915000071</v>
      </c>
      <c r="MU15">
        <f>+data!BT10</f>
        <v>1.9196934822700007</v>
      </c>
      <c r="MV15">
        <f>+data!GB10</f>
        <v>1.9196934822700007</v>
      </c>
      <c r="MW15">
        <f>+data!NH10</f>
        <v>1.9196934822700007</v>
      </c>
      <c r="MX15">
        <f>+data!AF10</f>
        <v>20.000926091960022</v>
      </c>
      <c r="MY15">
        <f>+data!CC10</f>
        <v>3.003721767580001</v>
      </c>
      <c r="MZ15">
        <f>+data!IA10</f>
        <v>1.3953836227200016</v>
      </c>
      <c r="NA15">
        <f>+data!NI10</f>
        <v>1.3953836227200016</v>
      </c>
      <c r="NB15">
        <f>+data!IC10</f>
        <v>6.1465534129999957E-2</v>
      </c>
      <c r="NC15">
        <f>+data!NJ10</f>
        <v>6.1465534129999957E-2</v>
      </c>
      <c r="ND15">
        <f>+data!IE10</f>
        <v>1.5468686828500022</v>
      </c>
      <c r="NE15">
        <f>+data!NK10</f>
        <v>1.5468686828500022</v>
      </c>
      <c r="NF15">
        <f>+data!CE10</f>
        <v>0</v>
      </c>
      <c r="NG15">
        <f>+data!IG10</f>
        <v>0</v>
      </c>
      <c r="NH15">
        <f>+data!NL10</f>
        <v>0</v>
      </c>
      <c r="NI15">
        <f>+data!CG10</f>
        <v>0.84248305384000099</v>
      </c>
      <c r="NJ15">
        <f>+data!IL10</f>
        <v>0.52462424241000094</v>
      </c>
      <c r="NK15">
        <f>+data!NM10</f>
        <v>0.52462424241000094</v>
      </c>
      <c r="NL15">
        <f>+data!IM10</f>
        <v>0.31785784522999977</v>
      </c>
      <c r="NM15">
        <f>+data!NN10</f>
        <v>0</v>
      </c>
      <c r="NN15">
        <f>+data!NO10</f>
        <v>0</v>
      </c>
      <c r="NO15">
        <f>+data!CH10</f>
        <v>0.33596546518999953</v>
      </c>
      <c r="NP15">
        <f>+data!IN10</f>
        <v>0.33596546518999953</v>
      </c>
      <c r="NQ15">
        <f>+data!NP10</f>
        <v>0.14783281855000005</v>
      </c>
      <c r="NR15">
        <f>+data!NQ10</f>
        <v>0.18813264663999998</v>
      </c>
      <c r="NS15">
        <f>+data!CI10</f>
        <v>14.547216587300033</v>
      </c>
      <c r="NT15">
        <f>+data!IO10</f>
        <v>0</v>
      </c>
      <c r="NU15">
        <f>+data!NR10</f>
        <v>0</v>
      </c>
      <c r="NV15">
        <f>+data!IP10</f>
        <v>9.5770416929099937</v>
      </c>
      <c r="NW15">
        <f>+data!NS10</f>
        <v>9.5770416929099937</v>
      </c>
      <c r="NX15">
        <f>+data!IQ10</f>
        <v>2.1611329337799958</v>
      </c>
      <c r="NY15">
        <f>+data!NT10</f>
        <v>2.1611329337799958</v>
      </c>
      <c r="NZ15">
        <f>+data!IR10</f>
        <v>2.8090401772800018</v>
      </c>
      <c r="OA15">
        <f>+data!NU10</f>
        <v>2.8090401772800018</v>
      </c>
      <c r="OB15">
        <f>+data!CJ10</f>
        <v>0.33921131801999926</v>
      </c>
      <c r="OC15">
        <f>+data!IS10</f>
        <v>0.33921131801999926</v>
      </c>
      <c r="OD15">
        <f>+data!NV10</f>
        <v>0.33921131801999926</v>
      </c>
      <c r="OE15">
        <f>+data!CK10</f>
        <v>0.85199726449999924</v>
      </c>
      <c r="OF15">
        <f>+data!IT10</f>
        <v>0.85199726449999924</v>
      </c>
      <c r="OG15">
        <f>+data!NW10</f>
        <v>0.13965882226000001</v>
      </c>
    </row>
    <row r="16" spans="7:397">
      <c r="J16" s="4">
        <f t="shared" si="340"/>
        <v>0.18681582016844556</v>
      </c>
      <c r="K16" t="s">
        <v>396</v>
      </c>
      <c r="AC16">
        <f>+data!S11</f>
        <v>210.78654705591018</v>
      </c>
      <c r="AD16">
        <f>+data!T11</f>
        <v>15.887928976220028</v>
      </c>
      <c r="AE16">
        <f>+data!AE11</f>
        <v>14.279801011580012</v>
      </c>
      <c r="AF16">
        <f>+data!BS11</f>
        <v>0</v>
      </c>
      <c r="AG16">
        <f>+data!FU11</f>
        <v>0</v>
      </c>
      <c r="AH16">
        <f>+data!FW11</f>
        <v>0</v>
      </c>
      <c r="AI16">
        <f>+data!FX11</f>
        <v>0</v>
      </c>
      <c r="AJ16">
        <f>+data!FY11</f>
        <v>0</v>
      </c>
      <c r="AK16">
        <f>+data!FZ11</f>
        <v>0</v>
      </c>
      <c r="AL16">
        <f>+data!GA11</f>
        <v>0</v>
      </c>
      <c r="AM16">
        <f>+data!BU11</f>
        <v>0</v>
      </c>
      <c r="AN16">
        <f>+data!GC11</f>
        <v>0</v>
      </c>
      <c r="AO16">
        <f>+data!GD11</f>
        <v>0</v>
      </c>
      <c r="AP16">
        <f>+data!GE11</f>
        <v>0</v>
      </c>
      <c r="AQ16">
        <f>+data!GF11</f>
        <v>0</v>
      </c>
      <c r="AR16">
        <f>+data!GG11</f>
        <v>0</v>
      </c>
      <c r="AS16">
        <f>+data!GH11</f>
        <v>0</v>
      </c>
      <c r="AT16">
        <f>+data!GI11</f>
        <v>0</v>
      </c>
      <c r="AU16">
        <f>+data!BV11</f>
        <v>0</v>
      </c>
      <c r="AV16">
        <f>+data!GJ11</f>
        <v>0</v>
      </c>
      <c r="AW16">
        <f>+data!GK11</f>
        <v>0</v>
      </c>
      <c r="AX16">
        <f>+data!GL11</f>
        <v>0</v>
      </c>
      <c r="AY16">
        <f>+data!GM11</f>
        <v>0</v>
      </c>
      <c r="AZ16">
        <f>+data!BW11</f>
        <v>0</v>
      </c>
      <c r="BA16">
        <f>+data!GN11</f>
        <v>0</v>
      </c>
      <c r="BB16">
        <f>+data!GO11</f>
        <v>0</v>
      </c>
      <c r="BC16">
        <f>+data!GP11</f>
        <v>0</v>
      </c>
      <c r="BD16">
        <f>+data!GQ11</f>
        <v>0</v>
      </c>
      <c r="BE16">
        <f>+data!GR11</f>
        <v>0</v>
      </c>
      <c r="BF16">
        <f>+data!GS11</f>
        <v>0</v>
      </c>
      <c r="BG16">
        <f>+data!GT11</f>
        <v>0</v>
      </c>
      <c r="BH16">
        <f>+data!BX11</f>
        <v>0</v>
      </c>
      <c r="BI16">
        <f>+data!GU11</f>
        <v>0</v>
      </c>
      <c r="BJ16">
        <f>+data!GV11</f>
        <v>0</v>
      </c>
      <c r="BK16">
        <f>+data!GW11</f>
        <v>0</v>
      </c>
      <c r="BL16">
        <f>+data!GX11</f>
        <v>0</v>
      </c>
      <c r="BM16">
        <f>+data!GY11</f>
        <v>0</v>
      </c>
      <c r="BN16">
        <f>+data!BY11</f>
        <v>0</v>
      </c>
      <c r="BO16">
        <f>+data!GZ11</f>
        <v>0</v>
      </c>
      <c r="BP16">
        <f>+data!HA11</f>
        <v>0</v>
      </c>
      <c r="BQ16">
        <f>+data!HB11</f>
        <v>0</v>
      </c>
      <c r="BR16">
        <f>+data!HC11</f>
        <v>0</v>
      </c>
      <c r="BS16">
        <f>+data!HD11</f>
        <v>0</v>
      </c>
      <c r="BT16">
        <f>+data!HE11</f>
        <v>0</v>
      </c>
      <c r="BU16">
        <f>+data!HF11</f>
        <v>0</v>
      </c>
      <c r="BV16">
        <f>+data!HG11</f>
        <v>0</v>
      </c>
      <c r="BW16">
        <f>+data!HH11</f>
        <v>0</v>
      </c>
      <c r="BX16">
        <f>+data!BZ11</f>
        <v>0</v>
      </c>
      <c r="BY16">
        <f>+data!HI11</f>
        <v>0</v>
      </c>
      <c r="BZ16">
        <f>+data!HJ11</f>
        <v>0</v>
      </c>
      <c r="CA16">
        <f>+data!HK11</f>
        <v>0</v>
      </c>
      <c r="CB16">
        <f>+data!HL11</f>
        <v>0</v>
      </c>
      <c r="CC16">
        <f>+data!HM11</f>
        <v>0</v>
      </c>
      <c r="CD16">
        <f>+data!HN11</f>
        <v>0</v>
      </c>
      <c r="CE16">
        <f>+data!HO11</f>
        <v>0</v>
      </c>
      <c r="CF16">
        <f>+data!HP11</f>
        <v>0</v>
      </c>
      <c r="CG16">
        <f>+data!CA11</f>
        <v>0</v>
      </c>
      <c r="CH16">
        <f>+data!HQ11</f>
        <v>0</v>
      </c>
      <c r="CI16">
        <f>+data!HR11</f>
        <v>0</v>
      </c>
      <c r="CJ16">
        <f>+data!HS11</f>
        <v>0</v>
      </c>
      <c r="CK16">
        <f>+data!HT11</f>
        <v>0</v>
      </c>
      <c r="CL16">
        <f>+data!HU11</f>
        <v>0</v>
      </c>
      <c r="CM16">
        <f>+data!HV11</f>
        <v>0</v>
      </c>
      <c r="CN16">
        <f>+data!CB11</f>
        <v>0</v>
      </c>
      <c r="CO16">
        <f>+data!HW11</f>
        <v>0</v>
      </c>
      <c r="CP16">
        <f>+data!HX11</f>
        <v>0</v>
      </c>
      <c r="CQ16">
        <f>+data!HY11</f>
        <v>0</v>
      </c>
      <c r="CR16">
        <f>+data!HZ11</f>
        <v>0</v>
      </c>
      <c r="CS16">
        <f>+data!AG11</f>
        <v>1.6081273103900029</v>
      </c>
      <c r="CT16">
        <f>+data!CD11</f>
        <v>0</v>
      </c>
      <c r="CU16">
        <f>+data!IB11</f>
        <v>0</v>
      </c>
      <c r="CV16">
        <f>+data!ID11</f>
        <v>0</v>
      </c>
      <c r="CW16">
        <f>+data!IF11</f>
        <v>0</v>
      </c>
      <c r="CX16">
        <f>+data!CF11</f>
        <v>0</v>
      </c>
      <c r="CY16">
        <f>+data!IH11</f>
        <v>0</v>
      </c>
      <c r="CZ16">
        <f>+data!II11</f>
        <v>0</v>
      </c>
      <c r="DA16">
        <f>+data!IJ11</f>
        <v>0</v>
      </c>
      <c r="DB16">
        <f>+data!IK11</f>
        <v>0</v>
      </c>
      <c r="DC16">
        <f>+data!U11</f>
        <v>2.5624087601299936</v>
      </c>
      <c r="DD16">
        <f>+data!AH11</f>
        <v>1.8771035577199997</v>
      </c>
      <c r="DE16">
        <f>+data!CL11</f>
        <v>0</v>
      </c>
      <c r="DF16">
        <f>+data!IU11</f>
        <v>0</v>
      </c>
      <c r="DG16">
        <f>+data!CM11</f>
        <v>0</v>
      </c>
      <c r="DH16">
        <f>+data!IV11</f>
        <v>0</v>
      </c>
      <c r="DI16">
        <f>+data!IW11</f>
        <v>0</v>
      </c>
      <c r="DJ16">
        <f>+data!CN11</f>
        <v>0</v>
      </c>
      <c r="DK16">
        <f>+data!IX11</f>
        <v>0</v>
      </c>
      <c r="DL16">
        <f>+data!AI11</f>
        <v>0.68530528672999902</v>
      </c>
      <c r="DM16">
        <f>+data!CO11</f>
        <v>0</v>
      </c>
      <c r="DN16">
        <f>+data!IY11</f>
        <v>0</v>
      </c>
      <c r="DO16">
        <f>+data!IZ11</f>
        <v>0</v>
      </c>
      <c r="DP16">
        <f>+data!JA11</f>
        <v>0</v>
      </c>
      <c r="DQ16">
        <f>+data!AJ11</f>
        <v>0</v>
      </c>
      <c r="DR16">
        <f>+data!CP11</f>
        <v>0</v>
      </c>
      <c r="DS16">
        <f>+data!V11</f>
        <v>9.4465229551600078</v>
      </c>
      <c r="DT16">
        <f>+data!AK11</f>
        <v>7.8442483338200173</v>
      </c>
      <c r="DU16">
        <f>+data!CQ11</f>
        <v>0.11169733557999992</v>
      </c>
      <c r="DV16">
        <f>+data!JB11</f>
        <v>0.11169733557999992</v>
      </c>
      <c r="DW16">
        <f>+data!CR11</f>
        <v>7.2382091837300129</v>
      </c>
      <c r="DX16">
        <f>+data!JC11</f>
        <v>2.5169038530500027</v>
      </c>
      <c r="DY16">
        <f>+data!JD11</f>
        <v>3.9476454621000041</v>
      </c>
      <c r="DZ16">
        <f>+data!JE11</f>
        <v>0.55036872677999871</v>
      </c>
      <c r="EA16">
        <f>+data!CS11</f>
        <v>0.20509938096000002</v>
      </c>
      <c r="EB16">
        <f>+data!JF11</f>
        <v>0.20509938096000002</v>
      </c>
      <c r="EC16">
        <f>+data!CT11</f>
        <v>0.28924188784000004</v>
      </c>
      <c r="ED16">
        <f>+data!JG11</f>
        <v>0.28924188784000004</v>
      </c>
      <c r="EE16">
        <f>+data!AL11</f>
        <v>1.6022751462300067</v>
      </c>
      <c r="EF16">
        <f>+data!CU11</f>
        <v>1.5213155382000016</v>
      </c>
      <c r="EG16">
        <f>+data!JH11</f>
        <v>0.52675170571999996</v>
      </c>
      <c r="EH16">
        <f>+data!JI11</f>
        <v>0.80648969749999955</v>
      </c>
      <c r="EI16">
        <f>+data!JJ11</f>
        <v>0.18807065826999955</v>
      </c>
      <c r="EJ16">
        <f>+data!CV11</f>
        <v>5.2738380239999973E-2</v>
      </c>
      <c r="EK16">
        <f>+data!JK11</f>
        <v>5.2738380239999973E-2</v>
      </c>
      <c r="EL16">
        <f>+data!W11</f>
        <v>47.338086877269923</v>
      </c>
      <c r="EM16">
        <f>+data!AM11</f>
        <v>9.0858145128699892</v>
      </c>
      <c r="EN16">
        <f>+data!CW11</f>
        <v>8.4293869909599906</v>
      </c>
      <c r="EO16">
        <f>+data!JL11</f>
        <v>8.4293869909599906</v>
      </c>
      <c r="EP16">
        <f>+data!CX11</f>
        <v>0.65642656812999989</v>
      </c>
      <c r="EQ16">
        <f>+data!JM11</f>
        <v>0.65642656812999989</v>
      </c>
      <c r="ER16">
        <f>+data!AN11</f>
        <v>23.102718686120021</v>
      </c>
      <c r="ES16">
        <f>+data!CY11</f>
        <v>21.843247889440004</v>
      </c>
      <c r="ET16">
        <f>+data!JN11</f>
        <v>21.843247889440004</v>
      </c>
      <c r="EU16">
        <f>+data!CZ11</f>
        <v>1.2594703114400008</v>
      </c>
      <c r="EV16">
        <f>+data!JO11</f>
        <v>0.49025695484999993</v>
      </c>
      <c r="EW16">
        <f>+data!JP11</f>
        <v>0.76921360812000006</v>
      </c>
      <c r="EX16">
        <f>+data!AO11</f>
        <v>1.9050713478700001</v>
      </c>
      <c r="EY16">
        <f>+data!DA11</f>
        <v>0.77464532396000185</v>
      </c>
      <c r="EZ16">
        <f>+data!JQ11</f>
        <v>0.77464532396000185</v>
      </c>
      <c r="FA16">
        <f>+data!DB11</f>
        <v>1.1304270075199996</v>
      </c>
      <c r="FB16">
        <f>+data!JR11</f>
        <v>1.1304270075199996</v>
      </c>
      <c r="FC16">
        <f>+data!AP11</f>
        <v>0</v>
      </c>
      <c r="FD16">
        <f>+data!DC11</f>
        <v>0</v>
      </c>
      <c r="FE16">
        <f>+data!JS11</f>
        <v>0</v>
      </c>
      <c r="FF16">
        <f>+data!DD11</f>
        <v>0</v>
      </c>
      <c r="FG16">
        <f>+data!JT11</f>
        <v>0</v>
      </c>
      <c r="FH16">
        <f>+data!DE11</f>
        <v>0</v>
      </c>
      <c r="FI16">
        <f>+data!JU11</f>
        <v>0</v>
      </c>
      <c r="FJ16">
        <f>+data!DF11</f>
        <v>0</v>
      </c>
      <c r="FK16">
        <f>+data!JV11</f>
        <v>0</v>
      </c>
      <c r="FL16">
        <f>+data!AQ11</f>
        <v>8.3802892558099984</v>
      </c>
      <c r="FM16">
        <f>+data!DG11</f>
        <v>3.2462969519699962</v>
      </c>
      <c r="FN16">
        <f>+data!JW11</f>
        <v>3.2462969519699962</v>
      </c>
      <c r="FO16">
        <f>+data!DH11</f>
        <v>2.4737656601600042</v>
      </c>
      <c r="FP16">
        <f>+data!JX11</f>
        <v>0</v>
      </c>
      <c r="FQ16">
        <f>+data!JY11</f>
        <v>0</v>
      </c>
      <c r="FR16">
        <f>+data!DI11</f>
        <v>2.0409069980000005</v>
      </c>
      <c r="FS16">
        <f>+data!JZ11</f>
        <v>2.0409069980000005</v>
      </c>
      <c r="FT16">
        <f>+data!DJ11</f>
        <v>0.15134154792999999</v>
      </c>
      <c r="FU16">
        <f>+data!KA11</f>
        <v>0.15134154792999999</v>
      </c>
      <c r="FV16">
        <f>+data!DK11</f>
        <v>0.46796838133000029</v>
      </c>
      <c r="FW16">
        <f>+data!KB11</f>
        <v>0.46796838133000029</v>
      </c>
      <c r="FX16">
        <f>+data!X11</f>
        <v>11.836872633729994</v>
      </c>
      <c r="FY16">
        <f>+data!AR11</f>
        <v>5.6084969119899943</v>
      </c>
      <c r="FZ16">
        <f>+data!DL11</f>
        <v>5.0169873765000048</v>
      </c>
      <c r="GA16">
        <f>+data!KC11</f>
        <v>5.0169873765000048</v>
      </c>
      <c r="GB16">
        <f>+data!DM11</f>
        <v>0.46997696967999963</v>
      </c>
      <c r="GC16">
        <f>+data!KD11</f>
        <v>0.46997696967999963</v>
      </c>
      <c r="GD16">
        <f>+data!DN11</f>
        <v>0.12153295164999996</v>
      </c>
      <c r="GE16">
        <f>+data!KE11</f>
        <v>0.12153295164999996</v>
      </c>
      <c r="GF16">
        <f>+data!AS11</f>
        <v>0.8024493928099965</v>
      </c>
      <c r="GG16">
        <f>+data!DO11</f>
        <v>0.8024493928099965</v>
      </c>
      <c r="GH16">
        <f>+data!KF11</f>
        <v>0.8024493928099965</v>
      </c>
      <c r="GI16">
        <f>+data!AT11</f>
        <v>1.3320812127900012</v>
      </c>
      <c r="GJ16">
        <f>+data!DP11</f>
        <v>0.89272779039999961</v>
      </c>
      <c r="GK16">
        <f>+data!KG11</f>
        <v>0.1905230670300001</v>
      </c>
      <c r="GL16">
        <f>+data!KH11</f>
        <v>0.31159651936999982</v>
      </c>
      <c r="GM16">
        <f>+data!KI11</f>
        <v>0</v>
      </c>
      <c r="GN16">
        <f>+data!KJ11</f>
        <v>0</v>
      </c>
      <c r="GO16">
        <f>+data!KK11</f>
        <v>0</v>
      </c>
      <c r="GP16">
        <f>+data!KL11</f>
        <v>0</v>
      </c>
      <c r="GQ16">
        <f>+data!KM11</f>
        <v>0.36563279944999966</v>
      </c>
      <c r="GR16">
        <f>+data!DQ11</f>
        <v>0.35896079109999995</v>
      </c>
      <c r="GS16">
        <f>+data!KN11</f>
        <v>0.35896079109999995</v>
      </c>
      <c r="GT16">
        <f>+data!DR11</f>
        <v>8.0392569509999984E-2</v>
      </c>
      <c r="GU16">
        <f>+data!KO11</f>
        <v>8.0392569509999984E-2</v>
      </c>
      <c r="GV16">
        <f>+data!AU11</f>
        <v>0.7469890783299995</v>
      </c>
      <c r="GW16">
        <f>+data!DS11</f>
        <v>1.9033472250000009E-2</v>
      </c>
      <c r="GX16">
        <f>+data!KP11</f>
        <v>0</v>
      </c>
      <c r="GY16">
        <f>+data!KQ11</f>
        <v>0</v>
      </c>
      <c r="GZ16">
        <f>+data!KR11</f>
        <v>0</v>
      </c>
      <c r="HA16">
        <f>+data!KS11</f>
        <v>1.9033472250000009E-2</v>
      </c>
      <c r="HB16">
        <f>+data!AV11</f>
        <v>1.0464284562299988</v>
      </c>
      <c r="HC16">
        <f>+data!DT11</f>
        <v>0</v>
      </c>
      <c r="HD16">
        <f>+data!KT11</f>
        <v>0</v>
      </c>
      <c r="HE16">
        <f>+data!DU11</f>
        <v>0</v>
      </c>
      <c r="HF16">
        <f>+data!KU11</f>
        <v>0</v>
      </c>
      <c r="HG16">
        <f>+data!AW11</f>
        <v>1.8172736930099991</v>
      </c>
      <c r="HH16">
        <f>+data!DV11</f>
        <v>0.6172313792900016</v>
      </c>
      <c r="HI16">
        <f>+data!KV11</f>
        <v>0</v>
      </c>
      <c r="HJ16">
        <f>+data!KW11</f>
        <v>0</v>
      </c>
      <c r="HK16">
        <f>+data!DW11</f>
        <v>1.2000419336100026</v>
      </c>
      <c r="HL16">
        <f>+data!KX11</f>
        <v>0</v>
      </c>
      <c r="HM16">
        <f>+data!KY11</f>
        <v>0</v>
      </c>
      <c r="HN16">
        <f>+data!Y11</f>
        <v>13.360565798679991</v>
      </c>
      <c r="HO16">
        <f>+data!AX11</f>
        <v>4.5599796995100137</v>
      </c>
      <c r="HP16">
        <f>+data!DX11</f>
        <v>2.3071161814200027</v>
      </c>
      <c r="HQ16">
        <f>+data!KZ11</f>
        <v>2.3071161814200027</v>
      </c>
      <c r="HR16">
        <f>+data!DY11</f>
        <v>0.42469161128999944</v>
      </c>
      <c r="HS16">
        <f>+data!LA11</f>
        <v>0.42469161128999944</v>
      </c>
      <c r="HT16">
        <f>+data!DZ11</f>
        <v>1.8281724672700004</v>
      </c>
      <c r="HU16">
        <f>+data!LB11</f>
        <v>1.8281724672700004</v>
      </c>
      <c r="HV16">
        <f>+data!AY11</f>
        <v>7.1770620804100096</v>
      </c>
      <c r="HW16">
        <f>+data!EA11</f>
        <v>4.7912906001099982</v>
      </c>
      <c r="HX16">
        <f>+data!LC11</f>
        <v>4.7912906001099982</v>
      </c>
      <c r="HY16">
        <f>+data!EB11</f>
        <v>1.6452559138300002</v>
      </c>
      <c r="HZ16">
        <f>+data!LD11</f>
        <v>1.6452559138300002</v>
      </c>
      <c r="IA16">
        <f>+data!EC11</f>
        <v>0.74050276029999929</v>
      </c>
      <c r="IB16">
        <f>+data!LE11</f>
        <v>0</v>
      </c>
      <c r="IC16">
        <f>+data!LF11</f>
        <v>0</v>
      </c>
      <c r="ID16">
        <f>+data!LG11</f>
        <v>0.74050276029999929</v>
      </c>
      <c r="IE16">
        <f>+data!AZ11</f>
        <v>1.5848298680799995</v>
      </c>
      <c r="IF16">
        <f>+data!Z11</f>
        <v>37.355128928359917</v>
      </c>
      <c r="IG16">
        <f>+data!BA11</f>
        <v>18.378364014829959</v>
      </c>
      <c r="IH16">
        <f>+data!ED11</f>
        <v>15.987419450309993</v>
      </c>
      <c r="II16">
        <f>+data!LH11</f>
        <v>9.0692897152899992</v>
      </c>
      <c r="IJ16">
        <f>+data!LI11</f>
        <v>6.9181297092100031</v>
      </c>
      <c r="IK16">
        <f>+data!EE11</f>
        <v>0.34611371589000006</v>
      </c>
      <c r="IL16">
        <f>+data!LJ11</f>
        <v>0.34611371589000006</v>
      </c>
      <c r="IM16">
        <f>+data!EF11</f>
        <v>0.49315760920999974</v>
      </c>
      <c r="IN16">
        <f>+data!LK11</f>
        <v>0.49315760920999974</v>
      </c>
      <c r="IO16">
        <f>+data!EG11</f>
        <v>1.0997150400000001E-3</v>
      </c>
      <c r="IP16">
        <f>+data!LL11</f>
        <v>1.0997150400000001E-3</v>
      </c>
      <c r="IQ16">
        <f>+data!BB11</f>
        <v>16.192457338350003</v>
      </c>
      <c r="IR16">
        <f>+data!EH11</f>
        <v>1.2173286989499996</v>
      </c>
      <c r="IS16">
        <f>+data!LM11</f>
        <v>1.2173286989499996</v>
      </c>
      <c r="IT16">
        <f>+data!EI11</f>
        <v>6.9165191304499798</v>
      </c>
      <c r="IU16">
        <f>+data!LN11</f>
        <v>6.9165191304499798</v>
      </c>
      <c r="IV16">
        <f>+data!EJ11</f>
        <v>2.8327949441699976</v>
      </c>
      <c r="IW16">
        <f>+data!LO11</f>
        <v>2.8327949441699976</v>
      </c>
      <c r="IX16">
        <f>+data!EK11</f>
        <v>5.2258192590599988</v>
      </c>
      <c r="IY16">
        <f>+data!LP11</f>
        <v>5.2258192590599988</v>
      </c>
      <c r="IZ16">
        <f>+data!BC11</f>
        <v>3.6939779325200033</v>
      </c>
      <c r="JA16">
        <f>+data!EL11</f>
        <v>0</v>
      </c>
      <c r="JB16">
        <f>+data!LQ11</f>
        <v>0</v>
      </c>
      <c r="JC16">
        <f>+data!EM11</f>
        <v>0</v>
      </c>
      <c r="JD16">
        <f>+data!LR11</f>
        <v>0</v>
      </c>
      <c r="JE16">
        <f>+data!EN11</f>
        <v>1.5103342181899999</v>
      </c>
      <c r="JF16">
        <f>+data!LS11</f>
        <v>1.5103342181899999</v>
      </c>
      <c r="JG16">
        <f>+data!EO11</f>
        <v>0</v>
      </c>
      <c r="JH16">
        <f>+data!LT11</f>
        <v>0</v>
      </c>
      <c r="JI16">
        <f>+data!EP11</f>
        <v>0</v>
      </c>
      <c r="JJ16">
        <f>+data!LU11</f>
        <v>0</v>
      </c>
      <c r="JK16">
        <f>+data!EQ11</f>
        <v>0</v>
      </c>
      <c r="JL16">
        <f>+data!LV11</f>
        <v>0</v>
      </c>
      <c r="JM16">
        <f>+data!AA11</f>
        <v>3.8368305590100138</v>
      </c>
      <c r="JN16">
        <f>+data!BD11</f>
        <v>0.38186858306999993</v>
      </c>
      <c r="JO16">
        <f>+data!ER11</f>
        <v>0.38186858306999993</v>
      </c>
      <c r="JP16">
        <f>+data!LW11</f>
        <v>0</v>
      </c>
      <c r="JQ16">
        <f>+data!BE11</f>
        <v>0.22470725725999999</v>
      </c>
      <c r="JR16">
        <f>+data!ES11</f>
        <v>0.22470725725999999</v>
      </c>
      <c r="JS16">
        <f>+data!LX11</f>
        <v>0.22470725725999999</v>
      </c>
      <c r="JT16">
        <f>+data!BF11</f>
        <v>3.2302616872400089</v>
      </c>
      <c r="JU16">
        <f>+data!ET11</f>
        <v>3.2302616872400089</v>
      </c>
      <c r="JV16">
        <f>+data!LY11</f>
        <v>3.2302616872400089</v>
      </c>
      <c r="JW16">
        <f>+data!AB11</f>
        <v>22.596498292960003</v>
      </c>
      <c r="JX16">
        <f>+data!BG11</f>
        <v>3.2825978999200061</v>
      </c>
      <c r="JY16">
        <f>+data!EU11</f>
        <v>1.1332725821399989</v>
      </c>
      <c r="JZ16">
        <f>+data!LZ11</f>
        <v>0.32475055574999967</v>
      </c>
      <c r="KA16">
        <f>+data!MA11</f>
        <v>0.80852157919999956</v>
      </c>
      <c r="KB16">
        <f>+data!EV11</f>
        <v>0.42111795464999952</v>
      </c>
      <c r="KC16">
        <f>+data!MB11</f>
        <v>0.42111795464999952</v>
      </c>
      <c r="KD16">
        <f>+data!MC11</f>
        <v>0</v>
      </c>
      <c r="KE16">
        <f>+data!EW11</f>
        <v>1.0288528902399985</v>
      </c>
      <c r="KF16">
        <f>+data!MD11</f>
        <v>1.0288528902399985</v>
      </c>
      <c r="KG16">
        <f>+data!EX11</f>
        <v>0.62144774607999897</v>
      </c>
      <c r="KH16">
        <f>+data!ME11</f>
        <v>0.62144774607999897</v>
      </c>
      <c r="KI16">
        <f>+data!EY11</f>
        <v>7.7905689879999948E-2</v>
      </c>
      <c r="KJ16">
        <f>+data!MF11</f>
        <v>7.7905689879999948E-2</v>
      </c>
      <c r="KK16">
        <f>+data!BH11</f>
        <v>0.91142986387999969</v>
      </c>
      <c r="KL16">
        <f>+data!EZ11</f>
        <v>0.77686244851999986</v>
      </c>
      <c r="KM16">
        <f>+data!MG11</f>
        <v>0.77686244851999986</v>
      </c>
      <c r="KN16">
        <f>+data!FA11</f>
        <v>0</v>
      </c>
      <c r="KO16">
        <f>+data!MH11</f>
        <v>0</v>
      </c>
      <c r="KP16">
        <f>+data!MI11</f>
        <v>0</v>
      </c>
      <c r="KQ16">
        <f>+data!FB11</f>
        <v>0.13456732368999993</v>
      </c>
      <c r="KR16">
        <f>+data!MJ11</f>
        <v>0.13456732368999993</v>
      </c>
      <c r="KS16">
        <f>+data!BI11</f>
        <v>3.5023452301400151</v>
      </c>
      <c r="KT16">
        <f>+data!FC11</f>
        <v>0.65288398378999801</v>
      </c>
      <c r="KU16">
        <f>+data!MK11</f>
        <v>0.65288398378999801</v>
      </c>
      <c r="KV16">
        <f>+data!FD11</f>
        <v>0.61025210720000012</v>
      </c>
      <c r="KW16">
        <f>+data!ML11</f>
        <v>0.61025210720000012</v>
      </c>
      <c r="KX16">
        <f>+data!FE11</f>
        <v>1.3121373952700026</v>
      </c>
      <c r="KY16">
        <f>+data!MM11</f>
        <v>1.3121373952700026</v>
      </c>
      <c r="KZ16">
        <f>+data!FF11</f>
        <v>0.9270697613800023</v>
      </c>
      <c r="LA16">
        <f>+data!MN11</f>
        <v>0.9270697613800023</v>
      </c>
      <c r="LB16">
        <f>+data!FG11</f>
        <v>0</v>
      </c>
      <c r="LC16">
        <f>+data!MO11</f>
        <v>0</v>
      </c>
      <c r="LD16">
        <f>+data!BJ11</f>
        <v>4.7556273292100153</v>
      </c>
      <c r="LE16">
        <f>+data!FH11</f>
        <v>1.7775065205000014</v>
      </c>
      <c r="LF16">
        <f>+data!MP11</f>
        <v>1.7775065205000014</v>
      </c>
      <c r="LG16">
        <f>+data!FI11</f>
        <v>1.550612244039991</v>
      </c>
      <c r="LH16">
        <f>+data!MQ11</f>
        <v>0</v>
      </c>
      <c r="LI16">
        <f>+data!MR11</f>
        <v>0</v>
      </c>
      <c r="LJ16">
        <f>+data!MS11</f>
        <v>0.92922025079999815</v>
      </c>
      <c r="LK16">
        <f>+data!MT11</f>
        <v>0.62141156150999988</v>
      </c>
      <c r="LL16">
        <f>+data!FJ11</f>
        <v>0</v>
      </c>
      <c r="LM16">
        <f>+data!MU11</f>
        <v>0</v>
      </c>
      <c r="LN16">
        <f>+data!BK11</f>
        <v>3.6005469566900099</v>
      </c>
      <c r="LO16">
        <f>+data!FK11</f>
        <v>1.2027895138500004</v>
      </c>
      <c r="LP16">
        <f>+data!MV11</f>
        <v>1.2027895138500004</v>
      </c>
      <c r="LQ16">
        <f>+data!FL11</f>
        <v>1.2379928293100004</v>
      </c>
      <c r="LR16">
        <f>+data!MW11</f>
        <v>1.2379928293100004</v>
      </c>
      <c r="LS16">
        <f>+data!FM11</f>
        <v>1.1597670929800035</v>
      </c>
      <c r="LT16">
        <f>+data!MX11</f>
        <v>1.1597670929800035</v>
      </c>
      <c r="LU16">
        <f>+data!FN11</f>
        <v>0</v>
      </c>
      <c r="LV16">
        <f>+data!MY11</f>
        <v>0</v>
      </c>
      <c r="LW16">
        <f>+data!BL11</f>
        <v>6.5439503438999802</v>
      </c>
      <c r="LX16">
        <f>+data!AC11</f>
        <v>1.6324413138100009</v>
      </c>
      <c r="LY16">
        <f>+data!BM11</f>
        <v>0</v>
      </c>
      <c r="LZ16">
        <f>+data!FO11</f>
        <v>0</v>
      </c>
      <c r="MA16">
        <f>+data!MZ11</f>
        <v>0</v>
      </c>
      <c r="MB16">
        <f>+data!BN11</f>
        <v>0</v>
      </c>
      <c r="MC16">
        <f>+data!FP11</f>
        <v>0</v>
      </c>
      <c r="MD16">
        <f>+data!NA11</f>
        <v>0</v>
      </c>
      <c r="ME16">
        <f>+data!BO11</f>
        <v>0</v>
      </c>
      <c r="MF16">
        <f>+data!FQ11</f>
        <v>0</v>
      </c>
      <c r="MG16">
        <f>+data!NB11</f>
        <v>0</v>
      </c>
      <c r="MH16">
        <f>+data!BP11</f>
        <v>0</v>
      </c>
      <c r="MI16">
        <f>+data!FR11</f>
        <v>0</v>
      </c>
      <c r="MJ16">
        <f>+data!NC11</f>
        <v>0</v>
      </c>
      <c r="MK16">
        <f>+data!BQ11</f>
        <v>0.4436605397199998</v>
      </c>
      <c r="ML16">
        <f>+data!FS11</f>
        <v>0.4436605397199998</v>
      </c>
      <c r="MM16">
        <f>+data!ND11</f>
        <v>0.4436605397199998</v>
      </c>
      <c r="MN16">
        <f>+data!AD11</f>
        <v>12.354841910060017</v>
      </c>
      <c r="MO16">
        <f>+data!BR11</f>
        <v>8.8932898752100176</v>
      </c>
      <c r="MP16">
        <f>+data!FT11</f>
        <v>7.9066415058299819</v>
      </c>
      <c r="MQ16">
        <f>+data!NE11</f>
        <v>0</v>
      </c>
      <c r="MR16">
        <f>+data!NF11</f>
        <v>0</v>
      </c>
      <c r="MS16">
        <f>+data!FV11</f>
        <v>0.98664916251000045</v>
      </c>
      <c r="MT16">
        <f>+data!NG11</f>
        <v>0.98664916251000045</v>
      </c>
      <c r="MU16">
        <f>+data!BT11</f>
        <v>3.4615534756999944</v>
      </c>
      <c r="MV16">
        <f>+data!GB11</f>
        <v>3.4615534756999944</v>
      </c>
      <c r="MW16">
        <f>+data!NH11</f>
        <v>3.4615534756999944</v>
      </c>
      <c r="MX16">
        <f>+data!AF11</f>
        <v>32.578420203269992</v>
      </c>
      <c r="MY16">
        <f>+data!CC11</f>
        <v>3.622358502200004</v>
      </c>
      <c r="MZ16">
        <f>+data!IA11</f>
        <v>1.7080670384300001</v>
      </c>
      <c r="NA16">
        <f>+data!NI11</f>
        <v>1.7080670384300001</v>
      </c>
      <c r="NB16">
        <f>+data!IC11</f>
        <v>6.779133810999996E-2</v>
      </c>
      <c r="NC16">
        <f>+data!NJ11</f>
        <v>6.779133810999996E-2</v>
      </c>
      <c r="ND16">
        <f>+data!IE11</f>
        <v>1.8464962461699916</v>
      </c>
      <c r="NE16">
        <f>+data!NK11</f>
        <v>1.8464962461699916</v>
      </c>
      <c r="NF16">
        <f>+data!CE11</f>
        <v>0</v>
      </c>
      <c r="NG16">
        <f>+data!IG11</f>
        <v>0</v>
      </c>
      <c r="NH16">
        <f>+data!NL11</f>
        <v>0</v>
      </c>
      <c r="NI16">
        <f>+data!CG11</f>
        <v>1.6250770623699999</v>
      </c>
      <c r="NJ16">
        <f>+data!IL11</f>
        <v>1.152846438230001</v>
      </c>
      <c r="NK16">
        <f>+data!NM11</f>
        <v>1.152846438230001</v>
      </c>
      <c r="NL16">
        <f>+data!IM11</f>
        <v>0.47223060867000027</v>
      </c>
      <c r="NM16">
        <f>+data!NN11</f>
        <v>0</v>
      </c>
      <c r="NN16">
        <f>+data!NO11</f>
        <v>0</v>
      </c>
      <c r="NO16">
        <f>+data!CH11</f>
        <v>0.55137966540999994</v>
      </c>
      <c r="NP16">
        <f>+data!IN11</f>
        <v>0.55137966540999994</v>
      </c>
      <c r="NQ16">
        <f>+data!NP11</f>
        <v>0.38722516289999992</v>
      </c>
      <c r="NR16">
        <f>+data!NQ11</f>
        <v>0.16415453851999992</v>
      </c>
      <c r="NS16">
        <f>+data!CI11</f>
        <v>24.826474356719991</v>
      </c>
      <c r="NT16">
        <f>+data!IO11</f>
        <v>0</v>
      </c>
      <c r="NU16">
        <f>+data!NR11</f>
        <v>0</v>
      </c>
      <c r="NV16">
        <f>+data!IP11</f>
        <v>18.06165366731998</v>
      </c>
      <c r="NW16">
        <f>+data!NS11</f>
        <v>18.06165366731998</v>
      </c>
      <c r="NX16">
        <f>+data!IQ11</f>
        <v>2.2670370676000009</v>
      </c>
      <c r="NY16">
        <f>+data!NT11</f>
        <v>2.2670370676000009</v>
      </c>
      <c r="NZ16">
        <f>+data!IR11</f>
        <v>4.4977827153100183</v>
      </c>
      <c r="OA16">
        <f>+data!NU11</f>
        <v>4.4977827153100183</v>
      </c>
      <c r="OB16">
        <f>+data!CJ11</f>
        <v>0.56568643394999885</v>
      </c>
      <c r="OC16">
        <f>+data!IS11</f>
        <v>0.56568643394999885</v>
      </c>
      <c r="OD16">
        <f>+data!NV11</f>
        <v>0.56568643394999885</v>
      </c>
      <c r="OE16">
        <f>+data!CK11</f>
        <v>1.2737290564699972</v>
      </c>
      <c r="OF16">
        <f>+data!IT11</f>
        <v>1.2737290564699972</v>
      </c>
      <c r="OG16">
        <f>+data!NW11</f>
        <v>0.14131111358999993</v>
      </c>
    </row>
    <row r="17" spans="7:397">
      <c r="K17" t="s">
        <v>397</v>
      </c>
      <c r="AC17">
        <f>+data!S12</f>
        <v>1128.3120822736053</v>
      </c>
      <c r="AD17">
        <f>+data!T12</f>
        <v>131.77119643934</v>
      </c>
      <c r="AE17">
        <f>+data!AE12</f>
        <v>118.26853464058021</v>
      </c>
      <c r="AF17">
        <f>+data!BS12</f>
        <v>0</v>
      </c>
      <c r="AG17">
        <f>+data!FU12</f>
        <v>0</v>
      </c>
      <c r="AH17">
        <f>+data!FW12</f>
        <v>0</v>
      </c>
      <c r="AI17">
        <f>+data!FX12</f>
        <v>0</v>
      </c>
      <c r="AJ17">
        <f>+data!FY12</f>
        <v>0</v>
      </c>
      <c r="AK17">
        <f>+data!FZ12</f>
        <v>0</v>
      </c>
      <c r="AL17">
        <f>+data!GA12</f>
        <v>0</v>
      </c>
      <c r="AM17">
        <f>+data!BU12</f>
        <v>0</v>
      </c>
      <c r="AN17">
        <f>+data!GC12</f>
        <v>0</v>
      </c>
      <c r="AO17">
        <f>+data!GD12</f>
        <v>0</v>
      </c>
      <c r="AP17">
        <f>+data!GE12</f>
        <v>0</v>
      </c>
      <c r="AQ17">
        <f>+data!GF12</f>
        <v>0</v>
      </c>
      <c r="AR17">
        <f>+data!GG12</f>
        <v>0</v>
      </c>
      <c r="AS17">
        <f>+data!GH12</f>
        <v>0</v>
      </c>
      <c r="AT17">
        <f>+data!GI12</f>
        <v>0</v>
      </c>
      <c r="AU17">
        <f>+data!BV12</f>
        <v>0</v>
      </c>
      <c r="AV17">
        <f>+data!GJ12</f>
        <v>0</v>
      </c>
      <c r="AW17">
        <f>+data!GK12</f>
        <v>0</v>
      </c>
      <c r="AX17">
        <f>+data!GL12</f>
        <v>0</v>
      </c>
      <c r="AY17">
        <f>+data!GM12</f>
        <v>0</v>
      </c>
      <c r="AZ17">
        <f>+data!BW12</f>
        <v>0</v>
      </c>
      <c r="BA17">
        <f>+data!GN12</f>
        <v>0</v>
      </c>
      <c r="BB17">
        <f>+data!GO12</f>
        <v>0</v>
      </c>
      <c r="BC17">
        <f>+data!GP12</f>
        <v>0</v>
      </c>
      <c r="BD17">
        <f>+data!GQ12</f>
        <v>0</v>
      </c>
      <c r="BE17">
        <f>+data!GR12</f>
        <v>0</v>
      </c>
      <c r="BF17">
        <f>+data!GS12</f>
        <v>0</v>
      </c>
      <c r="BG17">
        <f>+data!GT12</f>
        <v>0</v>
      </c>
      <c r="BH17">
        <f>+data!BX12</f>
        <v>0</v>
      </c>
      <c r="BI17">
        <f>+data!GU12</f>
        <v>0</v>
      </c>
      <c r="BJ17">
        <f>+data!GV12</f>
        <v>0</v>
      </c>
      <c r="BK17">
        <f>+data!GW12</f>
        <v>0</v>
      </c>
      <c r="BL17">
        <f>+data!GX12</f>
        <v>0</v>
      </c>
      <c r="BM17">
        <f>+data!GY12</f>
        <v>0</v>
      </c>
      <c r="BN17">
        <f>+data!BY12</f>
        <v>0</v>
      </c>
      <c r="BO17">
        <f>+data!GZ12</f>
        <v>0</v>
      </c>
      <c r="BP17">
        <f>+data!HA12</f>
        <v>0</v>
      </c>
      <c r="BQ17">
        <f>+data!HB12</f>
        <v>0</v>
      </c>
      <c r="BR17">
        <f>+data!HC12</f>
        <v>0</v>
      </c>
      <c r="BS17">
        <f>+data!HD12</f>
        <v>0</v>
      </c>
      <c r="BT17">
        <f>+data!HE12</f>
        <v>0</v>
      </c>
      <c r="BU17">
        <f>+data!HF12</f>
        <v>0</v>
      </c>
      <c r="BV17">
        <f>+data!HG12</f>
        <v>0</v>
      </c>
      <c r="BW17">
        <f>+data!HH12</f>
        <v>0</v>
      </c>
      <c r="BX17">
        <f>+data!BZ12</f>
        <v>0</v>
      </c>
      <c r="BY17">
        <f>+data!HI12</f>
        <v>0</v>
      </c>
      <c r="BZ17">
        <f>+data!HJ12</f>
        <v>0</v>
      </c>
      <c r="CA17">
        <f>+data!HK12</f>
        <v>0</v>
      </c>
      <c r="CB17">
        <f>+data!HL12</f>
        <v>0</v>
      </c>
      <c r="CC17">
        <f>+data!HM12</f>
        <v>0</v>
      </c>
      <c r="CD17">
        <f>+data!HN12</f>
        <v>0</v>
      </c>
      <c r="CE17">
        <f>+data!HO12</f>
        <v>0</v>
      </c>
      <c r="CF17">
        <f>+data!HP12</f>
        <v>0</v>
      </c>
      <c r="CG17">
        <f>+data!CA12</f>
        <v>0</v>
      </c>
      <c r="CH17">
        <f>+data!HQ12</f>
        <v>0</v>
      </c>
      <c r="CI17">
        <f>+data!HR12</f>
        <v>0</v>
      </c>
      <c r="CJ17">
        <f>+data!HS12</f>
        <v>0</v>
      </c>
      <c r="CK17">
        <f>+data!HT12</f>
        <v>0</v>
      </c>
      <c r="CL17">
        <f>+data!HU12</f>
        <v>0</v>
      </c>
      <c r="CM17">
        <f>+data!HV12</f>
        <v>0</v>
      </c>
      <c r="CN17">
        <f>+data!CB12</f>
        <v>0</v>
      </c>
      <c r="CO17">
        <f>+data!HW12</f>
        <v>0</v>
      </c>
      <c r="CP17">
        <f>+data!HX12</f>
        <v>0</v>
      </c>
      <c r="CQ17">
        <f>+data!HY12</f>
        <v>0</v>
      </c>
      <c r="CR17">
        <f>+data!HZ12</f>
        <v>0</v>
      </c>
      <c r="CS17">
        <f>+data!AG12</f>
        <v>13.502669958770062</v>
      </c>
      <c r="CT17">
        <f>+data!CD12</f>
        <v>0</v>
      </c>
      <c r="CU17">
        <f>+data!IB12</f>
        <v>0</v>
      </c>
      <c r="CV17">
        <f>+data!ID12</f>
        <v>0</v>
      </c>
      <c r="CW17">
        <f>+data!IF12</f>
        <v>0</v>
      </c>
      <c r="CX17">
        <f>+data!CF12</f>
        <v>0</v>
      </c>
      <c r="CY17">
        <f>+data!IH12</f>
        <v>0</v>
      </c>
      <c r="CZ17">
        <f>+data!II12</f>
        <v>0</v>
      </c>
      <c r="DA17">
        <f>+data!IJ12</f>
        <v>0</v>
      </c>
      <c r="DB17">
        <f>+data!IK12</f>
        <v>0</v>
      </c>
      <c r="DC17">
        <f>+data!U12</f>
        <v>18.629040205199981</v>
      </c>
      <c r="DD17">
        <f>+data!AH12</f>
        <v>10.58003716995003</v>
      </c>
      <c r="DE17">
        <f>+data!CL12</f>
        <v>0</v>
      </c>
      <c r="DF17">
        <f>+data!IU12</f>
        <v>0</v>
      </c>
      <c r="DG17">
        <f>+data!CM12</f>
        <v>0</v>
      </c>
      <c r="DH17">
        <f>+data!IV12</f>
        <v>0</v>
      </c>
      <c r="DI17">
        <f>+data!IW12</f>
        <v>0</v>
      </c>
      <c r="DJ17">
        <f>+data!CN12</f>
        <v>0</v>
      </c>
      <c r="DK17">
        <f>+data!IX12</f>
        <v>0</v>
      </c>
      <c r="DL17">
        <f>+data!AI12</f>
        <v>8.0489950059700224</v>
      </c>
      <c r="DM17">
        <f>+data!CO12</f>
        <v>0</v>
      </c>
      <c r="DN17">
        <f>+data!IY12</f>
        <v>0</v>
      </c>
      <c r="DO17">
        <f>+data!IZ12</f>
        <v>0</v>
      </c>
      <c r="DP17">
        <f>+data!JA12</f>
        <v>0</v>
      </c>
      <c r="DQ17">
        <f>+data!AJ12</f>
        <v>0</v>
      </c>
      <c r="DR17">
        <f>+data!CP12</f>
        <v>0</v>
      </c>
      <c r="DS17">
        <f>+data!V12</f>
        <v>49.50851081003956</v>
      </c>
      <c r="DT17">
        <f>+data!AK12</f>
        <v>39.602272323319724</v>
      </c>
      <c r="DU17">
        <f>+data!CQ12</f>
        <v>0.82721155277000236</v>
      </c>
      <c r="DV17">
        <f>+data!JB12</f>
        <v>0.82721155277000236</v>
      </c>
      <c r="DW17">
        <f>+data!CR12</f>
        <v>36.397239720239774</v>
      </c>
      <c r="DX17">
        <f>+data!JC12</f>
        <v>10.864993602940084</v>
      </c>
      <c r="DY17">
        <f>+data!JD12</f>
        <v>20.331257651529953</v>
      </c>
      <c r="DZ17">
        <f>+data!JE12</f>
        <v>3.7947095748999939</v>
      </c>
      <c r="EA17">
        <f>+data!CS12</f>
        <v>1.2029588348900031</v>
      </c>
      <c r="EB17">
        <f>+data!JF12</f>
        <v>1.2029588348900031</v>
      </c>
      <c r="EC17">
        <f>+data!CT12</f>
        <v>1.1748760097700004</v>
      </c>
      <c r="ED17">
        <f>+data!JG12</f>
        <v>1.1748760097700004</v>
      </c>
      <c r="EE17">
        <f>+data!AL12</f>
        <v>9.9062132892599841</v>
      </c>
      <c r="EF17">
        <f>+data!CU12</f>
        <v>9.4138265287399907</v>
      </c>
      <c r="EG17">
        <f>+data!JH12</f>
        <v>2.9203162989200302</v>
      </c>
      <c r="EH17">
        <f>+data!JI12</f>
        <v>5.0110832920899853</v>
      </c>
      <c r="EI17">
        <f>+data!JJ12</f>
        <v>1.4823727548200032</v>
      </c>
      <c r="EJ17">
        <f>+data!CV12</f>
        <v>0.30229625539999866</v>
      </c>
      <c r="EK17">
        <f>+data!JK12</f>
        <v>0.30229625539999866</v>
      </c>
      <c r="EL17">
        <f>+data!W12</f>
        <v>343.12736724855893</v>
      </c>
      <c r="EM17">
        <f>+data!AM12</f>
        <v>106.81869505566065</v>
      </c>
      <c r="EN17">
        <f>+data!CW12</f>
        <v>104.70268506719061</v>
      </c>
      <c r="EO17">
        <f>+data!JL12</f>
        <v>104.70268506719061</v>
      </c>
      <c r="EP17">
        <f>+data!CX12</f>
        <v>2.1160087946099995</v>
      </c>
      <c r="EQ17">
        <f>+data!JM12</f>
        <v>2.1160087946099995</v>
      </c>
      <c r="ER17">
        <f>+data!AN12</f>
        <v>134.21282913922064</v>
      </c>
      <c r="ES17">
        <f>+data!CY12</f>
        <v>123.87180463836984</v>
      </c>
      <c r="ET17">
        <f>+data!JN12</f>
        <v>123.87180463836984</v>
      </c>
      <c r="EU17">
        <f>+data!CZ12</f>
        <v>10.341024101710024</v>
      </c>
      <c r="EV17">
        <f>+data!JO12</f>
        <v>7.4343543769900169</v>
      </c>
      <c r="EW17">
        <f>+data!JP12</f>
        <v>2.9066699570700001</v>
      </c>
      <c r="EX17">
        <f>+data!AO12</f>
        <v>9.4411743856499939</v>
      </c>
      <c r="EY17">
        <f>+data!DA12</f>
        <v>4.6389409476299948</v>
      </c>
      <c r="EZ17">
        <f>+data!JQ12</f>
        <v>4.6389409476299948</v>
      </c>
      <c r="FA17">
        <f>+data!DB12</f>
        <v>4.802234351240001</v>
      </c>
      <c r="FB17">
        <f>+data!JR12</f>
        <v>4.802234351240001</v>
      </c>
      <c r="FC17">
        <f>+data!AP12</f>
        <v>0</v>
      </c>
      <c r="FD17">
        <f>+data!DC12</f>
        <v>0</v>
      </c>
      <c r="FE17">
        <f>+data!JS12</f>
        <v>0</v>
      </c>
      <c r="FF17">
        <f>+data!DD12</f>
        <v>0</v>
      </c>
      <c r="FG17">
        <f>+data!JT12</f>
        <v>0</v>
      </c>
      <c r="FH17">
        <f>+data!DE12</f>
        <v>0</v>
      </c>
      <c r="FI17">
        <f>+data!JU12</f>
        <v>0</v>
      </c>
      <c r="FJ17">
        <f>+data!DF12</f>
        <v>0</v>
      </c>
      <c r="FK17">
        <f>+data!JV12</f>
        <v>0</v>
      </c>
      <c r="FL17">
        <f>+data!AQ12</f>
        <v>65.565219257560102</v>
      </c>
      <c r="FM17">
        <f>+data!DG12</f>
        <v>27.058967881520172</v>
      </c>
      <c r="FN17">
        <f>+data!JW12</f>
        <v>27.058967881520172</v>
      </c>
      <c r="FO17">
        <f>+data!DH12</f>
        <v>17.031947346430076</v>
      </c>
      <c r="FP17">
        <f>+data!JX12</f>
        <v>0</v>
      </c>
      <c r="FQ17">
        <f>+data!JY12</f>
        <v>0</v>
      </c>
      <c r="FR17">
        <f>+data!DI12</f>
        <v>14.119725250939998</v>
      </c>
      <c r="FS17">
        <f>+data!JZ12</f>
        <v>14.119725250939998</v>
      </c>
      <c r="FT17">
        <f>+data!DJ12</f>
        <v>1.3835059867099953</v>
      </c>
      <c r="FU17">
        <f>+data!KA12</f>
        <v>1.3835059867099953</v>
      </c>
      <c r="FV17">
        <f>+data!DK12</f>
        <v>5.970983521620032</v>
      </c>
      <c r="FW17">
        <f>+data!KB12</f>
        <v>5.970983521620032</v>
      </c>
      <c r="FX17">
        <f>+data!X12</f>
        <v>53.055759953120628</v>
      </c>
      <c r="FY17">
        <f>+data!AR12</f>
        <v>21.001618833590058</v>
      </c>
      <c r="FZ17">
        <f>+data!DL12</f>
        <v>18.419798489530084</v>
      </c>
      <c r="GA17">
        <f>+data!KC12</f>
        <v>18.419798489530084</v>
      </c>
      <c r="GB17">
        <f>+data!DM12</f>
        <v>2.0984748432699942</v>
      </c>
      <c r="GC17">
        <f>+data!KD12</f>
        <v>2.0984748432699942</v>
      </c>
      <c r="GD17">
        <f>+data!DN12</f>
        <v>0.48334586677000013</v>
      </c>
      <c r="GE17">
        <f>+data!KE12</f>
        <v>0.48334586677000013</v>
      </c>
      <c r="GF17">
        <f>+data!AS12</f>
        <v>4.1245325716000281</v>
      </c>
      <c r="GG17">
        <f>+data!DO12</f>
        <v>4.1245325716000281</v>
      </c>
      <c r="GH17">
        <f>+data!KF12</f>
        <v>4.1245325716000281</v>
      </c>
      <c r="GI17">
        <f>+data!AT12</f>
        <v>8.8544014763499543</v>
      </c>
      <c r="GJ17">
        <f>+data!DP12</f>
        <v>6.0967625703099939</v>
      </c>
      <c r="GK17">
        <f>+data!KG12</f>
        <v>1.4230025835299998</v>
      </c>
      <c r="GL17">
        <f>+data!KH12</f>
        <v>2.2670163000499981</v>
      </c>
      <c r="GM17">
        <f>+data!KI12</f>
        <v>0</v>
      </c>
      <c r="GN17">
        <f>+data!KJ12</f>
        <v>0</v>
      </c>
      <c r="GO17">
        <f>+data!KK12</f>
        <v>0</v>
      </c>
      <c r="GP17">
        <f>+data!KL12</f>
        <v>0</v>
      </c>
      <c r="GQ17">
        <f>+data!KM12</f>
        <v>2.2308510773200037</v>
      </c>
      <c r="GR17">
        <f>+data!DQ12</f>
        <v>2.2519675070299967</v>
      </c>
      <c r="GS17">
        <f>+data!KN12</f>
        <v>2.2519675070299967</v>
      </c>
      <c r="GT17">
        <f>+data!DR12</f>
        <v>0.50566460988999984</v>
      </c>
      <c r="GU17">
        <f>+data!KO12</f>
        <v>0.50566460988999984</v>
      </c>
      <c r="GV17">
        <f>+data!AU12</f>
        <v>3.7286426725800195</v>
      </c>
      <c r="GW17">
        <f>+data!DS12</f>
        <v>0.11314711468999995</v>
      </c>
      <c r="GX17">
        <f>+data!KP12</f>
        <v>0</v>
      </c>
      <c r="GY17">
        <f>+data!KQ12</f>
        <v>0</v>
      </c>
      <c r="GZ17">
        <f>+data!KR12</f>
        <v>0</v>
      </c>
      <c r="HA17">
        <f>+data!KS12</f>
        <v>0.11314711468999995</v>
      </c>
      <c r="HB17">
        <f>+data!AV12</f>
        <v>6.0690586560100277</v>
      </c>
      <c r="HC17">
        <f>+data!DT12</f>
        <v>0</v>
      </c>
      <c r="HD17">
        <f>+data!KT12</f>
        <v>0</v>
      </c>
      <c r="HE17">
        <f>+data!DU12</f>
        <v>0</v>
      </c>
      <c r="HF17">
        <f>+data!KU12</f>
        <v>0</v>
      </c>
      <c r="HG17">
        <f>+data!AW12</f>
        <v>7.3543030187698823</v>
      </c>
      <c r="HH17">
        <f>+data!DV12</f>
        <v>4.2499523947100366</v>
      </c>
      <c r="HI17">
        <f>+data!KV12</f>
        <v>0</v>
      </c>
      <c r="HJ17">
        <f>+data!KW12</f>
        <v>0</v>
      </c>
      <c r="HK17">
        <f>+data!DW12</f>
        <v>3.1043515310100069</v>
      </c>
      <c r="HL17">
        <f>+data!KX12</f>
        <v>0</v>
      </c>
      <c r="HM17">
        <f>+data!KY12</f>
        <v>0</v>
      </c>
      <c r="HN17">
        <f>+data!Y12</f>
        <v>43.989726114620169</v>
      </c>
      <c r="HO17">
        <f>+data!AX12</f>
        <v>21.766020869799821</v>
      </c>
      <c r="HP17">
        <f>+data!DX12</f>
        <v>10.043583734159981</v>
      </c>
      <c r="HQ17">
        <f>+data!KZ12</f>
        <v>10.043583734159981</v>
      </c>
      <c r="HR17">
        <f>+data!DY12</f>
        <v>2.7404533375999875</v>
      </c>
      <c r="HS17">
        <f>+data!LA12</f>
        <v>2.7404533375999875</v>
      </c>
      <c r="HT17">
        <f>+data!DZ12</f>
        <v>8.9820029384799582</v>
      </c>
      <c r="HU17">
        <f>+data!LB12</f>
        <v>8.9820029384799582</v>
      </c>
      <c r="HV17">
        <f>+data!AY12</f>
        <v>19.067137305979919</v>
      </c>
      <c r="HW17">
        <f>+data!EA12</f>
        <v>11.138605326299707</v>
      </c>
      <c r="HX17">
        <f>+data!LC12</f>
        <v>11.138605326299707</v>
      </c>
      <c r="HY17">
        <f>+data!EB12</f>
        <v>5.74807543113997</v>
      </c>
      <c r="HZ17">
        <f>+data!LD12</f>
        <v>5.74807543113997</v>
      </c>
      <c r="IA17">
        <f>+data!EC12</f>
        <v>2.1803157687399932</v>
      </c>
      <c r="IB17">
        <f>+data!LE12</f>
        <v>0</v>
      </c>
      <c r="IC17">
        <f>+data!LF12</f>
        <v>0</v>
      </c>
      <c r="ID17">
        <f>+data!LG12</f>
        <v>2.1803157687399932</v>
      </c>
      <c r="IE17">
        <f>+data!AZ12</f>
        <v>3.0543658570600041</v>
      </c>
      <c r="IF17">
        <f>+data!Z12</f>
        <v>159.06818046564999</v>
      </c>
      <c r="IG17">
        <f>+data!BA12</f>
        <v>52.889764723690028</v>
      </c>
      <c r="IH17">
        <f>+data!ED12</f>
        <v>44.388360390169893</v>
      </c>
      <c r="II17">
        <f>+data!LH12</f>
        <v>21.800949002739998</v>
      </c>
      <c r="IJ17">
        <f>+data!LI12</f>
        <v>22.587411361619964</v>
      </c>
      <c r="IK17">
        <f>+data!EE12</f>
        <v>1.3373155780999997</v>
      </c>
      <c r="IL17">
        <f>+data!LJ12</f>
        <v>1.3373155780999997</v>
      </c>
      <c r="IM17">
        <f>+data!EF12</f>
        <v>2.0519230148299989</v>
      </c>
      <c r="IN17">
        <f>+data!LK12</f>
        <v>2.0519230148299989</v>
      </c>
      <c r="IO17">
        <f>+data!EG12</f>
        <v>4.3562732700000006E-3</v>
      </c>
      <c r="IP17">
        <f>+data!LL12</f>
        <v>4.3562732700000006E-3</v>
      </c>
      <c r="IQ17">
        <f>+data!BB12</f>
        <v>96.086073435110251</v>
      </c>
      <c r="IR17">
        <f>+data!EH12</f>
        <v>7.5677156382899415</v>
      </c>
      <c r="IS17">
        <f>+data!LM12</f>
        <v>7.5677156382899415</v>
      </c>
      <c r="IT17">
        <f>+data!EI12</f>
        <v>45.717065293080388</v>
      </c>
      <c r="IU17">
        <f>+data!LN12</f>
        <v>45.717065293080388</v>
      </c>
      <c r="IV17">
        <f>+data!EJ12</f>
        <v>16.311695316090081</v>
      </c>
      <c r="IW17">
        <f>+data!LO12</f>
        <v>16.311695316090081</v>
      </c>
      <c r="IX17">
        <f>+data!EK12</f>
        <v>26.489654090129982</v>
      </c>
      <c r="IY17">
        <f>+data!LP12</f>
        <v>26.489654090129982</v>
      </c>
      <c r="IZ17">
        <f>+data!BC12</f>
        <v>16.316613619669901</v>
      </c>
      <c r="JA17">
        <f>+data!EL12</f>
        <v>0</v>
      </c>
      <c r="JB17">
        <f>+data!LQ12</f>
        <v>0</v>
      </c>
      <c r="JC17">
        <f>+data!EM12</f>
        <v>0</v>
      </c>
      <c r="JD17">
        <f>+data!LR12</f>
        <v>0</v>
      </c>
      <c r="JE17">
        <f>+data!EN12</f>
        <v>4.3210777682500057</v>
      </c>
      <c r="JF17">
        <f>+data!LS12</f>
        <v>4.3210777682500057</v>
      </c>
      <c r="JG17">
        <f>+data!EO12</f>
        <v>0</v>
      </c>
      <c r="JH17">
        <f>+data!LT12</f>
        <v>0</v>
      </c>
      <c r="JI17">
        <f>+data!EP12</f>
        <v>0</v>
      </c>
      <c r="JJ17">
        <f>+data!LU12</f>
        <v>0</v>
      </c>
      <c r="JK17">
        <f>+data!EQ12</f>
        <v>0</v>
      </c>
      <c r="JL17">
        <f>+data!LV12</f>
        <v>0</v>
      </c>
      <c r="JM17">
        <f>+data!AA12</f>
        <v>30.555683493469967</v>
      </c>
      <c r="JN17">
        <f>+data!BD12</f>
        <v>2.5901709564600064</v>
      </c>
      <c r="JO17">
        <f>+data!ER12</f>
        <v>2.5901709564600064</v>
      </c>
      <c r="JP17">
        <f>+data!LW12</f>
        <v>0</v>
      </c>
      <c r="JQ17">
        <f>+data!BE12</f>
        <v>1.5125638692100021</v>
      </c>
      <c r="JR17">
        <f>+data!ES12</f>
        <v>1.5125638692100021</v>
      </c>
      <c r="JS17">
        <f>+data!LX12</f>
        <v>1.5125638692100021</v>
      </c>
      <c r="JT17">
        <f>+data!BF12</f>
        <v>26.452998547659991</v>
      </c>
      <c r="JU17">
        <f>+data!ET12</f>
        <v>26.452998547659991</v>
      </c>
      <c r="JV17">
        <f>+data!LY12</f>
        <v>26.452998547659991</v>
      </c>
      <c r="JW17">
        <f>+data!AB12</f>
        <v>114.53256410664868</v>
      </c>
      <c r="JX17">
        <f>+data!BG12</f>
        <v>16.619641088389805</v>
      </c>
      <c r="JY17">
        <f>+data!EU12</f>
        <v>5.4901542276200122</v>
      </c>
      <c r="JZ17">
        <f>+data!LZ12</f>
        <v>1.3850439570499973</v>
      </c>
      <c r="KA17">
        <f>+data!MA12</f>
        <v>4.1051092250500094</v>
      </c>
      <c r="KB17">
        <f>+data!EV12</f>
        <v>1.7444610583400002</v>
      </c>
      <c r="KC17">
        <f>+data!MB12</f>
        <v>1.7444610583400002</v>
      </c>
      <c r="KD17">
        <f>+data!MC12</f>
        <v>0</v>
      </c>
      <c r="KE17">
        <f>+data!EW12</f>
        <v>5.6748176742799874</v>
      </c>
      <c r="KF17">
        <f>+data!MD12</f>
        <v>5.6748176742799874</v>
      </c>
      <c r="KG17">
        <f>+data!EX12</f>
        <v>3.2867765718200426</v>
      </c>
      <c r="KH17">
        <f>+data!ME12</f>
        <v>3.2867765718200426</v>
      </c>
      <c r="KI17">
        <f>+data!EY12</f>
        <v>0.42340994203999949</v>
      </c>
      <c r="KJ17">
        <f>+data!MF12</f>
        <v>0.42340994203999949</v>
      </c>
      <c r="KK17">
        <f>+data!BH12</f>
        <v>2.580682500250004</v>
      </c>
      <c r="KL17">
        <f>+data!EZ12</f>
        <v>2.1945161421599995</v>
      </c>
      <c r="KM17">
        <f>+data!MG12</f>
        <v>2.1945161421599995</v>
      </c>
      <c r="KN17">
        <f>+data!FA12</f>
        <v>0</v>
      </c>
      <c r="KO17">
        <f>+data!MH12</f>
        <v>0</v>
      </c>
      <c r="KP17">
        <f>+data!MI12</f>
        <v>0</v>
      </c>
      <c r="KQ17">
        <f>+data!FB12</f>
        <v>0.38616591853999982</v>
      </c>
      <c r="KR17">
        <f>+data!MJ12</f>
        <v>0.38616591853999982</v>
      </c>
      <c r="KS17">
        <f>+data!BI12</f>
        <v>20.638958665109705</v>
      </c>
      <c r="KT17">
        <f>+data!FC12</f>
        <v>4.1137458326600491</v>
      </c>
      <c r="KU17">
        <f>+data!MK12</f>
        <v>4.1137458326600491</v>
      </c>
      <c r="KV17">
        <f>+data!FD12</f>
        <v>2.6528411308199948</v>
      </c>
      <c r="KW17">
        <f>+data!ML12</f>
        <v>2.6528411308199948</v>
      </c>
      <c r="KX17">
        <f>+data!FE12</f>
        <v>7.6608052265499573</v>
      </c>
      <c r="KY17">
        <f>+data!MM12</f>
        <v>7.6608052265499573</v>
      </c>
      <c r="KZ17">
        <f>+data!FF12</f>
        <v>6.2115895653799837</v>
      </c>
      <c r="LA17">
        <f>+data!MN12</f>
        <v>6.2115895653799837</v>
      </c>
      <c r="LB17">
        <f>+data!FG12</f>
        <v>0</v>
      </c>
      <c r="LC17">
        <f>+data!MO12</f>
        <v>0</v>
      </c>
      <c r="LD17">
        <f>+data!BJ12</f>
        <v>26.282078159140084</v>
      </c>
      <c r="LE17">
        <f>+data!FH12</f>
        <v>8.7512588514500038</v>
      </c>
      <c r="LF17">
        <f>+data!MP12</f>
        <v>8.7512588514500038</v>
      </c>
      <c r="LG17">
        <f>+data!FI12</f>
        <v>10.761474701280104</v>
      </c>
      <c r="LH17">
        <f>+data!MQ12</f>
        <v>0</v>
      </c>
      <c r="LI17">
        <f>+data!MR12</f>
        <v>0</v>
      </c>
      <c r="LJ17">
        <f>+data!MS12</f>
        <v>7.9323418414197979</v>
      </c>
      <c r="LK17">
        <f>+data!MT12</f>
        <v>2.829278557010015</v>
      </c>
      <c r="LL17">
        <f>+data!FJ12</f>
        <v>0</v>
      </c>
      <c r="LM17">
        <f>+data!MU12</f>
        <v>0</v>
      </c>
      <c r="LN17">
        <f>+data!BK12</f>
        <v>19.953022099960194</v>
      </c>
      <c r="LO17">
        <f>+data!FK12</f>
        <v>5.7827552969499845</v>
      </c>
      <c r="LP17">
        <f>+data!MV12</f>
        <v>5.7827552969499845</v>
      </c>
      <c r="LQ17">
        <f>+data!FL12</f>
        <v>7.7817376073500233</v>
      </c>
      <c r="LR17">
        <f>+data!MW12</f>
        <v>7.7817376073500233</v>
      </c>
      <c r="LS17">
        <f>+data!FM12</f>
        <v>6.3885659227299776</v>
      </c>
      <c r="LT17">
        <f>+data!MX12</f>
        <v>6.3885659227299776</v>
      </c>
      <c r="LU17">
        <f>+data!FN12</f>
        <v>0</v>
      </c>
      <c r="LV17">
        <f>+data!MY12</f>
        <v>0</v>
      </c>
      <c r="LW17">
        <f>+data!BL12</f>
        <v>28.45825680537996</v>
      </c>
      <c r="LX17">
        <f>+data!AC12</f>
        <v>9.4221090076499792</v>
      </c>
      <c r="LY17">
        <f>+data!BM12</f>
        <v>0</v>
      </c>
      <c r="LZ17">
        <f>+data!FO12</f>
        <v>0</v>
      </c>
      <c r="MA17">
        <f>+data!MZ12</f>
        <v>0</v>
      </c>
      <c r="MB17">
        <f>+data!BN12</f>
        <v>0</v>
      </c>
      <c r="MC17">
        <f>+data!FP12</f>
        <v>0</v>
      </c>
      <c r="MD17">
        <f>+data!NA12</f>
        <v>0</v>
      </c>
      <c r="ME17">
        <f>+data!BO12</f>
        <v>0</v>
      </c>
      <c r="MF17">
        <f>+data!FQ12</f>
        <v>0</v>
      </c>
      <c r="MG17">
        <f>+data!NB12</f>
        <v>0</v>
      </c>
      <c r="MH17">
        <f>+data!BP12</f>
        <v>0</v>
      </c>
      <c r="MI17">
        <f>+data!FR12</f>
        <v>0</v>
      </c>
      <c r="MJ17">
        <f>+data!NC12</f>
        <v>0</v>
      </c>
      <c r="MK17">
        <f>+data!BQ12</f>
        <v>2.2634887874300031</v>
      </c>
      <c r="ML17">
        <f>+data!FS12</f>
        <v>2.2634887874300031</v>
      </c>
      <c r="MM17">
        <f>+data!ND12</f>
        <v>2.2634887874300031</v>
      </c>
      <c r="MN17">
        <f>+data!AD12</f>
        <v>52.727030702969365</v>
      </c>
      <c r="MO17">
        <f>+data!BR12</f>
        <v>40.841982617159495</v>
      </c>
      <c r="MP17">
        <f>+data!FT12</f>
        <v>36.315826742589827</v>
      </c>
      <c r="MQ17">
        <f>+data!NE12</f>
        <v>0</v>
      </c>
      <c r="MR17">
        <f>+data!NF12</f>
        <v>0</v>
      </c>
      <c r="MS17">
        <f>+data!FV12</f>
        <v>4.5261617987599925</v>
      </c>
      <c r="MT17">
        <f>+data!NG12</f>
        <v>4.5261617987599925</v>
      </c>
      <c r="MU17">
        <f>+data!BT12</f>
        <v>11.885035454899972</v>
      </c>
      <c r="MV17">
        <f>+data!GB12</f>
        <v>11.885035454899972</v>
      </c>
      <c r="MW17">
        <f>+data!NH12</f>
        <v>11.885035454899972</v>
      </c>
      <c r="MX17">
        <f>+data!AF12</f>
        <v>121.92486337680936</v>
      </c>
      <c r="MY17">
        <f>+data!CC12</f>
        <v>24.742817169270115</v>
      </c>
      <c r="MZ17">
        <f>+data!IA12</f>
        <v>10.977446050529943</v>
      </c>
      <c r="NA17">
        <f>+data!NI12</f>
        <v>10.977446050529943</v>
      </c>
      <c r="NB17">
        <f>+data!IC12</f>
        <v>0.45883606702999991</v>
      </c>
      <c r="NC17">
        <f>+data!NJ12</f>
        <v>0.45883606702999991</v>
      </c>
      <c r="ND17">
        <f>+data!IE12</f>
        <v>13.306486035949826</v>
      </c>
      <c r="NE17">
        <f>+data!NK12</f>
        <v>13.306486035949826</v>
      </c>
      <c r="NF17">
        <f>+data!CE12</f>
        <v>0</v>
      </c>
      <c r="NG17">
        <f>+data!IG12</f>
        <v>0</v>
      </c>
      <c r="NH17">
        <f>+data!NL12</f>
        <v>0</v>
      </c>
      <c r="NI17">
        <f>+data!CG12</f>
        <v>6.0055924373599909</v>
      </c>
      <c r="NJ17">
        <f>+data!IL12</f>
        <v>3.7512638986499858</v>
      </c>
      <c r="NK17">
        <f>+data!NM12</f>
        <v>3.7512638986499858</v>
      </c>
      <c r="NL17">
        <f>+data!IM12</f>
        <v>2.2543255781699956</v>
      </c>
      <c r="NM17">
        <f>+data!NN12</f>
        <v>0</v>
      </c>
      <c r="NN17">
        <f>+data!NO12</f>
        <v>0</v>
      </c>
      <c r="NO17">
        <f>+data!CH12</f>
        <v>2.363762956050004</v>
      </c>
      <c r="NP17">
        <f>+data!IN12</f>
        <v>2.363762956050004</v>
      </c>
      <c r="NQ17">
        <f>+data!NP12</f>
        <v>1.1591597635100004</v>
      </c>
      <c r="NR17">
        <f>+data!NQ12</f>
        <v>1.2046034147900011</v>
      </c>
      <c r="NS17">
        <f>+data!CI12</f>
        <v>80.829629004279852</v>
      </c>
      <c r="NT17">
        <f>+data!IO12</f>
        <v>0</v>
      </c>
      <c r="NU17">
        <f>+data!NR12</f>
        <v>0</v>
      </c>
      <c r="NV17">
        <f>+data!IP12</f>
        <v>45.639693707300303</v>
      </c>
      <c r="NW17">
        <f>+data!NS12</f>
        <v>45.639693707300303</v>
      </c>
      <c r="NX17">
        <f>+data!IQ12</f>
        <v>16.163543841429856</v>
      </c>
      <c r="NY17">
        <f>+data!NT12</f>
        <v>16.163543841429856</v>
      </c>
      <c r="NZ17">
        <f>+data!IR12</f>
        <v>19.026369779740115</v>
      </c>
      <c r="OA17">
        <f>+data!NU12</f>
        <v>19.026369779740115</v>
      </c>
      <c r="OB17">
        <f>+data!CJ12</f>
        <v>2.4721100267200029</v>
      </c>
      <c r="OC17">
        <f>+data!IS12</f>
        <v>2.4721100267200029</v>
      </c>
      <c r="OD17">
        <f>+data!NV12</f>
        <v>2.4721100267200029</v>
      </c>
      <c r="OE17">
        <f>+data!CK12</f>
        <v>4.8974062534600202</v>
      </c>
      <c r="OF17">
        <f>+data!IT12</f>
        <v>4.8974062534600202</v>
      </c>
      <c r="OG17">
        <f>+data!NW12</f>
        <v>1.3261644408700046</v>
      </c>
    </row>
    <row r="19" spans="7:397">
      <c r="DR19" t="e">
        <f>+DR7/DR16</f>
        <v>#DIV/0!</v>
      </c>
      <c r="DS19">
        <f t="shared" ref="DS19:DU19" si="341">+DS7/DS16</f>
        <v>0.25598584846492212</v>
      </c>
      <c r="DT19">
        <f t="shared" si="341"/>
        <v>0.23576244326642604</v>
      </c>
      <c r="DU19">
        <f t="shared" si="341"/>
        <v>0.66721830402680105</v>
      </c>
    </row>
    <row r="21" spans="7:39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row>
    <row r="22" spans="7:397">
      <c r="K22" s="19" t="s">
        <v>398</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row>
    <row r="23" spans="7:397">
      <c r="K23" s="19" t="s">
        <v>399</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row>
    <row r="24" spans="7:397" s="7" customFormat="1">
      <c r="G24" s="18"/>
      <c r="H24" s="18"/>
      <c r="I24" s="18"/>
      <c r="J24" s="18"/>
      <c r="DQ24" s="7">
        <f t="shared" ref="DQ24:DW24" si="342">+SUM(DQ26:DQ46)</f>
        <v>0</v>
      </c>
      <c r="DR24" s="7">
        <f t="shared" si="342"/>
        <v>0</v>
      </c>
      <c r="DS24" s="7">
        <f t="shared" si="342"/>
        <v>1</v>
      </c>
      <c r="DT24" s="7">
        <f t="shared" si="342"/>
        <v>0</v>
      </c>
      <c r="DU24" s="7">
        <f t="shared" si="342"/>
        <v>0</v>
      </c>
      <c r="DV24" s="7">
        <f t="shared" si="342"/>
        <v>0</v>
      </c>
      <c r="DW24" s="7">
        <f t="shared" si="342"/>
        <v>0</v>
      </c>
    </row>
    <row r="25" spans="7:397" ht="15" thickBot="1">
      <c r="G25"/>
      <c r="H25"/>
      <c r="I25"/>
      <c r="J25"/>
      <c r="AC25" s="47" t="s">
        <v>400</v>
      </c>
    </row>
    <row r="26" spans="7:397">
      <c r="H26" s="5"/>
      <c r="I26" s="5">
        <f>+SUM(AD26:OG26)</f>
        <v>2</v>
      </c>
      <c r="J26" s="5" t="s">
        <v>401</v>
      </c>
      <c r="K26">
        <f>+K51</f>
        <v>33.829906185485406</v>
      </c>
      <c r="AC26" s="38"/>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c r="EC26" s="39"/>
      <c r="ED26" s="39"/>
      <c r="EE26" s="39"/>
      <c r="EF26" s="39"/>
      <c r="EG26" s="39"/>
      <c r="EH26" s="39"/>
      <c r="EI26" s="39"/>
      <c r="EJ26" s="39"/>
      <c r="EK26" s="39"/>
      <c r="EL26" s="39"/>
      <c r="EM26" s="39"/>
      <c r="EN26" s="39"/>
      <c r="EO26" s="39"/>
      <c r="EP26" s="39"/>
      <c r="EQ26" s="39"/>
      <c r="ER26" s="39"/>
      <c r="ES26" s="39"/>
      <c r="ET26" s="39"/>
      <c r="EU26" s="39"/>
      <c r="EV26" s="39"/>
      <c r="EW26" s="39"/>
      <c r="EX26" s="39"/>
      <c r="EY26" s="39"/>
      <c r="EZ26" s="39"/>
      <c r="FA26" s="39"/>
      <c r="FB26" s="39"/>
      <c r="FC26" s="39"/>
      <c r="FD26" s="39"/>
      <c r="FE26" s="39"/>
      <c r="FF26" s="39"/>
      <c r="FG26" s="39"/>
      <c r="FH26" s="39"/>
      <c r="FI26" s="39"/>
      <c r="FJ26" s="39"/>
      <c r="FK26" s="39"/>
      <c r="FL26" s="39"/>
      <c r="FM26" s="39"/>
      <c r="FN26" s="39"/>
      <c r="FO26" s="39"/>
      <c r="FP26" s="39"/>
      <c r="FQ26" s="39"/>
      <c r="FR26" s="39">
        <v>1</v>
      </c>
      <c r="FS26" s="39"/>
      <c r="FT26" s="39"/>
      <c r="FU26" s="39"/>
      <c r="FV26" s="39"/>
      <c r="FW26" s="39"/>
      <c r="FX26" s="39"/>
      <c r="FY26" s="39"/>
      <c r="FZ26" s="39"/>
      <c r="GA26" s="39"/>
      <c r="GB26" s="39"/>
      <c r="GC26" s="39"/>
      <c r="GD26" s="39"/>
      <c r="GE26" s="39"/>
      <c r="GF26" s="39"/>
      <c r="GG26" s="39"/>
      <c r="GH26" s="39"/>
      <c r="GI26" s="39"/>
      <c r="GJ26" s="39"/>
      <c r="GK26" s="39"/>
      <c r="GL26" s="39"/>
      <c r="GM26" s="39"/>
      <c r="GN26" s="39"/>
      <c r="GO26" s="39"/>
      <c r="GP26" s="39"/>
      <c r="GQ26" s="39"/>
      <c r="GR26" s="39"/>
      <c r="GS26" s="39"/>
      <c r="GT26" s="39"/>
      <c r="GU26" s="39"/>
      <c r="GV26" s="39"/>
      <c r="GW26" s="39"/>
      <c r="GX26" s="39"/>
      <c r="GY26" s="39"/>
      <c r="GZ26" s="39"/>
      <c r="HA26" s="39"/>
      <c r="HB26" s="39"/>
      <c r="HC26" s="39"/>
      <c r="HD26" s="39"/>
      <c r="HE26" s="39"/>
      <c r="HF26" s="39"/>
      <c r="HG26" s="39"/>
      <c r="HH26" s="39"/>
      <c r="HI26" s="39"/>
      <c r="HJ26" s="39"/>
      <c r="HK26" s="39"/>
      <c r="HL26" s="39"/>
      <c r="HM26" s="39"/>
      <c r="HN26" s="39"/>
      <c r="HO26" s="39"/>
      <c r="HP26" s="39"/>
      <c r="HQ26" s="39"/>
      <c r="HR26" s="39"/>
      <c r="HS26" s="39"/>
      <c r="HT26" s="39"/>
      <c r="HU26" s="39"/>
      <c r="HV26" s="39"/>
      <c r="HW26" s="39"/>
      <c r="HX26" s="39"/>
      <c r="HY26" s="39"/>
      <c r="HZ26" s="39"/>
      <c r="IA26" s="39"/>
      <c r="IB26" s="39"/>
      <c r="IC26" s="39"/>
      <c r="ID26" s="39"/>
      <c r="IE26" s="39"/>
      <c r="IF26" s="39"/>
      <c r="IG26" s="39"/>
      <c r="IH26" s="39"/>
      <c r="II26" s="39"/>
      <c r="IJ26" s="39"/>
      <c r="IK26" s="39"/>
      <c r="IL26" s="39"/>
      <c r="IM26" s="39"/>
      <c r="IN26" s="39"/>
      <c r="IO26" s="39"/>
      <c r="IP26" s="39"/>
      <c r="IQ26" s="39"/>
      <c r="IR26" s="39"/>
      <c r="IS26" s="39"/>
      <c r="IT26" s="39">
        <v>1</v>
      </c>
      <c r="IU26" s="39"/>
      <c r="IV26" s="39"/>
      <c r="IW26" s="39"/>
      <c r="IX26" s="39"/>
      <c r="IY26" s="39"/>
      <c r="IZ26" s="39"/>
      <c r="JA26" s="39"/>
      <c r="JB26" s="39"/>
      <c r="JC26" s="39"/>
      <c r="JD26" s="39"/>
      <c r="JE26" s="39"/>
      <c r="JF26" s="39"/>
      <c r="JG26" s="39"/>
      <c r="JH26" s="39"/>
      <c r="JI26" s="39"/>
      <c r="JJ26" s="39"/>
      <c r="JK26" s="39"/>
      <c r="JL26" s="39"/>
      <c r="JM26" s="39"/>
      <c r="JN26" s="39"/>
      <c r="JO26" s="39"/>
      <c r="JP26" s="39"/>
      <c r="JQ26" s="39"/>
      <c r="JR26" s="39"/>
      <c r="JS26" s="39"/>
      <c r="JT26" s="39"/>
      <c r="JU26" s="39"/>
      <c r="JV26" s="39"/>
      <c r="JW26" s="39"/>
      <c r="JX26" s="39"/>
      <c r="JY26" s="39"/>
      <c r="JZ26" s="39"/>
      <c r="KA26" s="39"/>
      <c r="KB26" s="39"/>
      <c r="KC26" s="39"/>
      <c r="KD26" s="39"/>
      <c r="KE26" s="39"/>
      <c r="KF26" s="39"/>
      <c r="KG26" s="39"/>
      <c r="KH26" s="39"/>
      <c r="KI26" s="39"/>
      <c r="KJ26" s="39"/>
      <c r="KK26" s="39"/>
      <c r="KL26" s="39"/>
      <c r="KM26" s="39"/>
      <c r="KN26" s="39"/>
      <c r="KO26" s="39"/>
      <c r="KP26" s="39"/>
      <c r="KQ26" s="39"/>
      <c r="KR26" s="39"/>
      <c r="KS26" s="39"/>
      <c r="KT26" s="39"/>
      <c r="KU26" s="39"/>
      <c r="KV26" s="39"/>
      <c r="KW26" s="39"/>
      <c r="KX26" s="39"/>
      <c r="KY26" s="39"/>
      <c r="KZ26" s="39"/>
      <c r="LA26" s="39"/>
      <c r="LB26" s="39"/>
      <c r="LC26" s="39"/>
      <c r="LD26" s="39"/>
      <c r="LE26" s="39"/>
      <c r="LF26" s="39"/>
      <c r="LG26" s="39"/>
      <c r="LH26" s="39"/>
      <c r="LI26" s="39"/>
      <c r="LJ26" s="39"/>
      <c r="LK26" s="39"/>
      <c r="LL26" s="39"/>
      <c r="LM26" s="39"/>
      <c r="LN26" s="39"/>
      <c r="LO26" s="39"/>
      <c r="LP26" s="39"/>
      <c r="LQ26" s="39"/>
      <c r="LR26" s="39"/>
      <c r="LS26" s="39"/>
      <c r="LT26" s="39"/>
      <c r="LU26" s="39"/>
      <c r="LV26" s="39"/>
      <c r="LW26" s="39"/>
      <c r="LX26" s="39"/>
      <c r="LY26" s="39"/>
      <c r="LZ26" s="39"/>
      <c r="MA26" s="39"/>
      <c r="MB26" s="39"/>
      <c r="MC26" s="39"/>
      <c r="MD26" s="39"/>
      <c r="ME26" s="39"/>
      <c r="MF26" s="39"/>
      <c r="MG26" s="39"/>
      <c r="MH26" s="39"/>
      <c r="MI26" s="39"/>
      <c r="MJ26" s="39"/>
      <c r="MK26" s="39"/>
      <c r="ML26" s="39"/>
      <c r="MM26" s="39"/>
      <c r="MN26" s="39"/>
      <c r="MO26" s="39"/>
      <c r="MP26" s="39"/>
      <c r="MQ26" s="39"/>
      <c r="MR26" s="39"/>
      <c r="MS26" s="39"/>
      <c r="MT26" s="39"/>
      <c r="MU26" s="39"/>
      <c r="MV26" s="39"/>
      <c r="MW26" s="39"/>
      <c r="MX26" s="39"/>
      <c r="MY26" s="39"/>
      <c r="MZ26" s="39"/>
      <c r="NA26" s="39"/>
      <c r="NB26" s="39"/>
      <c r="NC26" s="39"/>
      <c r="ND26" s="39"/>
      <c r="NE26" s="39"/>
      <c r="NF26" s="39"/>
      <c r="NG26" s="39"/>
      <c r="NH26" s="39"/>
      <c r="NI26" s="39"/>
      <c r="NJ26" s="39"/>
      <c r="NK26" s="39"/>
      <c r="NL26" s="39"/>
      <c r="NM26" s="39"/>
      <c r="NN26" s="39"/>
      <c r="NO26" s="39"/>
      <c r="NP26" s="39"/>
      <c r="NQ26" s="39"/>
      <c r="NR26" s="39"/>
      <c r="NS26" s="39"/>
      <c r="NT26" s="39"/>
      <c r="NU26" s="39"/>
      <c r="NV26" s="39"/>
      <c r="NW26" s="39"/>
      <c r="NX26" s="39"/>
      <c r="NY26" s="39"/>
      <c r="NZ26" s="39"/>
      <c r="OA26" s="39"/>
      <c r="OB26" s="39"/>
      <c r="OC26" s="39"/>
      <c r="OD26" s="39"/>
      <c r="OE26" s="39"/>
      <c r="OF26" s="39"/>
      <c r="OG26" s="40"/>
    </row>
    <row r="27" spans="7:397">
      <c r="H27" s="5"/>
      <c r="I27" s="5">
        <f t="shared" ref="I27:I43" si="343">+SUM(AD27:OG27)</f>
        <v>1</v>
      </c>
      <c r="J27" s="5" t="s">
        <v>402</v>
      </c>
      <c r="K27">
        <f t="shared" ref="K27:K43" si="344">+K52</f>
        <v>5.0152416900999803</v>
      </c>
      <c r="AC27" s="41"/>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v>1</v>
      </c>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0"/>
      <c r="HS27" s="30"/>
      <c r="HT27" s="30"/>
      <c r="HU27" s="30"/>
      <c r="HV27" s="30"/>
      <c r="HW27" s="30"/>
      <c r="HX27" s="30"/>
      <c r="HY27" s="30"/>
      <c r="HZ27" s="30"/>
      <c r="IA27" s="30"/>
      <c r="IB27" s="30"/>
      <c r="IC27" s="30"/>
      <c r="ID27" s="30"/>
      <c r="IE27" s="30"/>
      <c r="IF27" s="30"/>
      <c r="IG27" s="30"/>
      <c r="IH27" s="30"/>
      <c r="II27" s="30"/>
      <c r="IJ27" s="30"/>
      <c r="IK27" s="30"/>
      <c r="IL27" s="30"/>
      <c r="IM27" s="30"/>
      <c r="IN27" s="30"/>
      <c r="IO27" s="30"/>
      <c r="IP27" s="30"/>
      <c r="IQ27" s="30"/>
      <c r="IR27" s="30"/>
      <c r="IS27" s="30"/>
      <c r="IT27" s="30"/>
      <c r="IU27" s="30"/>
      <c r="IV27" s="30"/>
      <c r="IW27" s="30"/>
      <c r="IX27" s="30"/>
      <c r="IY27" s="30"/>
      <c r="IZ27" s="30"/>
      <c r="JA27" s="30"/>
      <c r="JB27" s="30"/>
      <c r="JC27" s="30"/>
      <c r="JD27" s="30"/>
      <c r="JE27" s="30"/>
      <c r="JF27" s="30"/>
      <c r="JG27" s="30"/>
      <c r="JH27" s="30"/>
      <c r="JI27" s="30"/>
      <c r="JJ27" s="30"/>
      <c r="JK27" s="30"/>
      <c r="JL27" s="30"/>
      <c r="JM27" s="30"/>
      <c r="JN27" s="30"/>
      <c r="JO27" s="30"/>
      <c r="JP27" s="30"/>
      <c r="JQ27" s="30"/>
      <c r="JR27" s="30"/>
      <c r="JS27" s="30"/>
      <c r="JT27" s="30"/>
      <c r="JU27" s="30"/>
      <c r="JV27" s="30"/>
      <c r="JW27" s="30"/>
      <c r="JX27" s="30"/>
      <c r="JY27" s="30"/>
      <c r="JZ27" s="30"/>
      <c r="KA27" s="30"/>
      <c r="KB27" s="30"/>
      <c r="KC27" s="30"/>
      <c r="KD27" s="30"/>
      <c r="KE27" s="30"/>
      <c r="KF27" s="30"/>
      <c r="KG27" s="30"/>
      <c r="KH27" s="30"/>
      <c r="KI27" s="30"/>
      <c r="KJ27" s="30"/>
      <c r="KK27" s="30"/>
      <c r="KL27" s="30"/>
      <c r="KM27" s="30"/>
      <c r="KN27" s="30"/>
      <c r="KO27" s="30"/>
      <c r="KP27" s="30"/>
      <c r="KQ27" s="30"/>
      <c r="KR27" s="30"/>
      <c r="KS27" s="30"/>
      <c r="KT27" s="30"/>
      <c r="KU27" s="30"/>
      <c r="KV27" s="30"/>
      <c r="KW27" s="30"/>
      <c r="KX27" s="30"/>
      <c r="KY27" s="30"/>
      <c r="KZ27" s="30"/>
      <c r="LA27" s="30"/>
      <c r="LB27" s="30"/>
      <c r="LC27" s="30"/>
      <c r="LD27" s="30"/>
      <c r="LE27" s="30"/>
      <c r="LF27" s="30"/>
      <c r="LG27" s="30"/>
      <c r="LH27" s="30"/>
      <c r="LI27" s="30"/>
      <c r="LJ27" s="30"/>
      <c r="LK27" s="30"/>
      <c r="LL27" s="30"/>
      <c r="LM27" s="30"/>
      <c r="LN27" s="30"/>
      <c r="LO27" s="30"/>
      <c r="LP27" s="30"/>
      <c r="LQ27" s="30"/>
      <c r="LR27" s="30"/>
      <c r="LS27" s="30"/>
      <c r="LT27" s="30"/>
      <c r="LU27" s="30"/>
      <c r="LV27" s="30"/>
      <c r="LW27" s="30"/>
      <c r="LX27" s="30"/>
      <c r="LY27" s="30"/>
      <c r="LZ27" s="30"/>
      <c r="MA27" s="30"/>
      <c r="MB27" s="30"/>
      <c r="MC27" s="30"/>
      <c r="MD27" s="30"/>
      <c r="ME27" s="30"/>
      <c r="MF27" s="30"/>
      <c r="MG27" s="30"/>
      <c r="MH27" s="30"/>
      <c r="MI27" s="30"/>
      <c r="MJ27" s="30"/>
      <c r="MK27" s="30"/>
      <c r="ML27" s="30"/>
      <c r="MM27" s="30"/>
      <c r="MN27" s="30"/>
      <c r="MO27" s="30"/>
      <c r="MP27" s="30"/>
      <c r="MQ27" s="30"/>
      <c r="MR27" s="30"/>
      <c r="MS27" s="30"/>
      <c r="MT27" s="30"/>
      <c r="MU27" s="30"/>
      <c r="MV27" s="30"/>
      <c r="MW27" s="30"/>
      <c r="MX27" s="30"/>
      <c r="MY27" s="30"/>
      <c r="MZ27" s="30"/>
      <c r="NA27" s="30"/>
      <c r="NB27" s="30"/>
      <c r="NC27" s="30"/>
      <c r="ND27" s="30"/>
      <c r="NE27" s="30"/>
      <c r="NF27" s="30"/>
      <c r="NG27" s="30"/>
      <c r="NH27" s="30"/>
      <c r="NI27" s="30"/>
      <c r="NJ27" s="30"/>
      <c r="NK27" s="30"/>
      <c r="NL27" s="30"/>
      <c r="NM27" s="30"/>
      <c r="NN27" s="30"/>
      <c r="NO27" s="30"/>
      <c r="NP27" s="30"/>
      <c r="NQ27" s="30"/>
      <c r="NR27" s="30"/>
      <c r="NS27" s="30"/>
      <c r="NT27" s="30"/>
      <c r="NU27" s="30"/>
      <c r="NV27" s="30"/>
      <c r="NW27" s="30"/>
      <c r="NX27" s="30"/>
      <c r="NY27" s="30"/>
      <c r="NZ27" s="30"/>
      <c r="OA27" s="30"/>
      <c r="OB27" s="30"/>
      <c r="OC27" s="30"/>
      <c r="OD27" s="30"/>
      <c r="OE27" s="30"/>
      <c r="OF27" s="30"/>
      <c r="OG27" s="42"/>
    </row>
    <row r="28" spans="7:397">
      <c r="H28" s="5" t="s">
        <v>403</v>
      </c>
      <c r="I28" s="5">
        <f t="shared" si="343"/>
        <v>1</v>
      </c>
      <c r="J28" s="5" t="s">
        <v>404</v>
      </c>
      <c r="K28">
        <f t="shared" si="344"/>
        <v>29.770963683998367</v>
      </c>
      <c r="AC28" s="41"/>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c r="CK28" s="30"/>
      <c r="CL28" s="30"/>
      <c r="CM28" s="30"/>
      <c r="CN28" s="30"/>
      <c r="CO28" s="30"/>
      <c r="CP28" s="30"/>
      <c r="CQ28" s="30"/>
      <c r="CR28" s="30"/>
      <c r="CS28" s="30"/>
      <c r="CT28" s="30"/>
      <c r="CU28" s="30"/>
      <c r="CV28" s="30"/>
      <c r="CW28" s="30"/>
      <c r="CX28" s="30"/>
      <c r="CY28" s="30"/>
      <c r="CZ28" s="30"/>
      <c r="DA28" s="30"/>
      <c r="DB28" s="30"/>
      <c r="DC28" s="30"/>
      <c r="DD28" s="30"/>
      <c r="DE28" s="30"/>
      <c r="DF28" s="30"/>
      <c r="DG28" s="30"/>
      <c r="DH28" s="30"/>
      <c r="DI28" s="30"/>
      <c r="DJ28" s="30"/>
      <c r="DK28" s="30"/>
      <c r="DL28" s="30"/>
      <c r="DM28" s="30"/>
      <c r="DN28" s="30"/>
      <c r="DO28" s="30"/>
      <c r="DP28" s="30"/>
      <c r="DQ28" s="30"/>
      <c r="DR28" s="30"/>
      <c r="DS28" s="30"/>
      <c r="DT28" s="30"/>
      <c r="DU28" s="30"/>
      <c r="DV28" s="30"/>
      <c r="DW28" s="30"/>
      <c r="DX28" s="30"/>
      <c r="DY28" s="30"/>
      <c r="DZ28" s="30"/>
      <c r="EA28" s="30"/>
      <c r="EB28" s="30"/>
      <c r="EC28" s="30"/>
      <c r="ED28" s="30"/>
      <c r="EE28" s="30"/>
      <c r="EF28" s="30"/>
      <c r="EG28" s="30"/>
      <c r="EH28" s="30"/>
      <c r="EI28" s="30"/>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c r="IB28" s="30"/>
      <c r="IC28" s="30"/>
      <c r="ID28" s="30"/>
      <c r="IE28" s="30"/>
      <c r="IF28" s="30"/>
      <c r="IG28" s="30"/>
      <c r="IH28" s="30"/>
      <c r="II28" s="30"/>
      <c r="IJ28" s="30"/>
      <c r="IK28" s="30"/>
      <c r="IL28" s="30"/>
      <c r="IM28" s="30"/>
      <c r="IN28" s="30"/>
      <c r="IO28" s="30"/>
      <c r="IP28" s="30"/>
      <c r="IQ28" s="30"/>
      <c r="IR28" s="30"/>
      <c r="IS28" s="30"/>
      <c r="IT28" s="30"/>
      <c r="IU28" s="30"/>
      <c r="IV28" s="30"/>
      <c r="IW28" s="30"/>
      <c r="IX28" s="30"/>
      <c r="IY28" s="30"/>
      <c r="IZ28" s="30"/>
      <c r="JA28" s="30"/>
      <c r="JB28" s="30"/>
      <c r="JC28" s="30"/>
      <c r="JD28" s="30"/>
      <c r="JE28" s="30"/>
      <c r="JF28" s="30"/>
      <c r="JG28" s="30"/>
      <c r="JH28" s="30"/>
      <c r="JI28" s="30"/>
      <c r="JJ28" s="30"/>
      <c r="JK28" s="30"/>
      <c r="JL28" s="30"/>
      <c r="JM28" s="30"/>
      <c r="JN28" s="30"/>
      <c r="JO28" s="30"/>
      <c r="JP28" s="30"/>
      <c r="JQ28" s="30"/>
      <c r="JR28" s="30"/>
      <c r="JS28" s="30"/>
      <c r="JT28" s="30"/>
      <c r="JU28" s="30"/>
      <c r="JV28" s="30"/>
      <c r="JW28" s="30"/>
      <c r="JX28" s="30"/>
      <c r="JY28" s="30"/>
      <c r="JZ28" s="30"/>
      <c r="KA28" s="30"/>
      <c r="KB28" s="30"/>
      <c r="KC28" s="30"/>
      <c r="KD28" s="30"/>
      <c r="KE28" s="30"/>
      <c r="KF28" s="30"/>
      <c r="KG28" s="30"/>
      <c r="KH28" s="30"/>
      <c r="KI28" s="30"/>
      <c r="KJ28" s="30"/>
      <c r="KK28" s="30"/>
      <c r="KL28" s="30"/>
      <c r="KM28" s="30"/>
      <c r="KN28" s="30"/>
      <c r="KO28" s="30"/>
      <c r="KP28" s="30"/>
      <c r="KQ28" s="30"/>
      <c r="KR28" s="30"/>
      <c r="KS28" s="30"/>
      <c r="KT28" s="30"/>
      <c r="KU28" s="30"/>
      <c r="KV28" s="30"/>
      <c r="KW28" s="30"/>
      <c r="KX28" s="30"/>
      <c r="KY28" s="30"/>
      <c r="KZ28" s="30"/>
      <c r="LA28" s="30"/>
      <c r="LB28" s="30"/>
      <c r="LC28" s="30"/>
      <c r="LD28" s="30"/>
      <c r="LE28" s="30"/>
      <c r="LF28" s="30"/>
      <c r="LG28" s="30"/>
      <c r="LH28" s="30"/>
      <c r="LI28" s="30"/>
      <c r="LJ28" s="30"/>
      <c r="LK28" s="30"/>
      <c r="LL28" s="30"/>
      <c r="LM28" s="30"/>
      <c r="LN28" s="30">
        <v>1</v>
      </c>
      <c r="LO28" s="30"/>
      <c r="LP28" s="30"/>
      <c r="LQ28" s="30"/>
      <c r="LR28" s="30"/>
      <c r="LS28" s="30"/>
      <c r="LT28" s="30"/>
      <c r="LU28" s="30"/>
      <c r="LV28" s="30"/>
      <c r="LW28" s="30"/>
      <c r="LX28" s="30"/>
      <c r="LY28" s="30"/>
      <c r="LZ28" s="30"/>
      <c r="MA28" s="30"/>
      <c r="MB28" s="30"/>
      <c r="MC28" s="30"/>
      <c r="MD28" s="30"/>
      <c r="ME28" s="30"/>
      <c r="MF28" s="30"/>
      <c r="MG28" s="30"/>
      <c r="MH28" s="30"/>
      <c r="MI28" s="30"/>
      <c r="MJ28" s="30"/>
      <c r="MK28" s="30"/>
      <c r="ML28" s="30"/>
      <c r="MM28" s="30"/>
      <c r="MN28" s="30"/>
      <c r="MO28" s="30"/>
      <c r="MP28" s="30"/>
      <c r="MQ28" s="30"/>
      <c r="MR28" s="30"/>
      <c r="MS28" s="30"/>
      <c r="MT28" s="30"/>
      <c r="MU28" s="30"/>
      <c r="MV28" s="30"/>
      <c r="MW28" s="30"/>
      <c r="MX28" s="30"/>
      <c r="MY28" s="30"/>
      <c r="MZ28" s="30"/>
      <c r="NA28" s="30"/>
      <c r="NB28" s="30"/>
      <c r="NC28" s="30"/>
      <c r="ND28" s="30"/>
      <c r="NE28" s="30"/>
      <c r="NF28" s="30"/>
      <c r="NG28" s="30"/>
      <c r="NH28" s="30"/>
      <c r="NI28" s="30"/>
      <c r="NJ28" s="30"/>
      <c r="NK28" s="30"/>
      <c r="NL28" s="30"/>
      <c r="NM28" s="30"/>
      <c r="NN28" s="30"/>
      <c r="NO28" s="30"/>
      <c r="NP28" s="30"/>
      <c r="NQ28" s="30"/>
      <c r="NR28" s="30"/>
      <c r="NS28" s="30"/>
      <c r="NT28" s="30"/>
      <c r="NU28" s="30"/>
      <c r="NV28" s="30"/>
      <c r="NW28" s="30"/>
      <c r="NX28" s="30"/>
      <c r="NY28" s="30"/>
      <c r="NZ28" s="30"/>
      <c r="OA28" s="30"/>
      <c r="OB28" s="30"/>
      <c r="OC28" s="30"/>
      <c r="OD28" s="30"/>
      <c r="OE28" s="30"/>
      <c r="OF28" s="30"/>
      <c r="OG28" s="42"/>
    </row>
    <row r="29" spans="7:397">
      <c r="H29" t="s">
        <v>405</v>
      </c>
      <c r="I29" s="5">
        <f t="shared" si="343"/>
        <v>2</v>
      </c>
      <c r="J29" s="5" t="s">
        <v>406</v>
      </c>
      <c r="K29">
        <f t="shared" si="344"/>
        <v>5.6376906736498196</v>
      </c>
      <c r="AC29" s="41"/>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c r="DA29" s="30"/>
      <c r="DB29" s="30"/>
      <c r="DC29" s="30"/>
      <c r="DD29" s="30"/>
      <c r="DE29" s="30"/>
      <c r="DF29" s="30"/>
      <c r="DG29" s="30"/>
      <c r="DH29" s="30"/>
      <c r="DI29" s="30"/>
      <c r="DJ29" s="30"/>
      <c r="DK29" s="30"/>
      <c r="DL29" s="30"/>
      <c r="DM29" s="30"/>
      <c r="DN29" s="30"/>
      <c r="DO29" s="30"/>
      <c r="DP29" s="30"/>
      <c r="DQ29" s="30"/>
      <c r="DR29" s="30"/>
      <c r="DS29" s="30"/>
      <c r="DT29" s="30"/>
      <c r="DU29" s="30"/>
      <c r="DV29" s="30"/>
      <c r="DW29" s="30"/>
      <c r="DX29" s="30"/>
      <c r="DY29" s="30"/>
      <c r="DZ29" s="30"/>
      <c r="EA29" s="30"/>
      <c r="EB29" s="30"/>
      <c r="EC29" s="30"/>
      <c r="ED29" s="30"/>
      <c r="EE29" s="30"/>
      <c r="EF29" s="30"/>
      <c r="EG29" s="30"/>
      <c r="EH29" s="30"/>
      <c r="EI29" s="30"/>
      <c r="EJ29" s="30"/>
      <c r="EK29" s="30"/>
      <c r="EL29" s="30"/>
      <c r="EM29" s="30"/>
      <c r="EN29" s="30"/>
      <c r="EO29" s="30"/>
      <c r="EP29" s="30"/>
      <c r="EQ29" s="30"/>
      <c r="ER29" s="30"/>
      <c r="ES29" s="30"/>
      <c r="ET29" s="30"/>
      <c r="EU29" s="30"/>
      <c r="EV29" s="30"/>
      <c r="EW29" s="30"/>
      <c r="EX29" s="30"/>
      <c r="EY29" s="30">
        <v>1</v>
      </c>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c r="IB29" s="30"/>
      <c r="IC29" s="30"/>
      <c r="ID29" s="30"/>
      <c r="IE29" s="30"/>
      <c r="IF29" s="30"/>
      <c r="IG29" s="30"/>
      <c r="IH29" s="30"/>
      <c r="II29" s="30"/>
      <c r="IJ29" s="30"/>
      <c r="IK29" s="30"/>
      <c r="IL29" s="30"/>
      <c r="IM29" s="30"/>
      <c r="IN29" s="30"/>
      <c r="IO29" s="30"/>
      <c r="IP29" s="30"/>
      <c r="IQ29" s="30"/>
      <c r="IR29" s="30"/>
      <c r="IS29" s="30"/>
      <c r="IT29" s="30"/>
      <c r="IU29" s="30"/>
      <c r="IV29" s="30"/>
      <c r="IW29" s="30"/>
      <c r="IX29" s="30"/>
      <c r="IY29" s="30"/>
      <c r="IZ29" s="30"/>
      <c r="JA29" s="30"/>
      <c r="JB29" s="30"/>
      <c r="JC29" s="30"/>
      <c r="JD29" s="30"/>
      <c r="JE29" s="30"/>
      <c r="JF29" s="30"/>
      <c r="JG29" s="30"/>
      <c r="JH29" s="30"/>
      <c r="JI29" s="30"/>
      <c r="JJ29" s="30"/>
      <c r="JK29" s="30"/>
      <c r="JL29" s="30"/>
      <c r="JM29" s="30"/>
      <c r="JN29" s="30"/>
      <c r="JO29" s="30"/>
      <c r="JP29" s="30"/>
      <c r="JQ29" s="30"/>
      <c r="JR29" s="30"/>
      <c r="JS29" s="30"/>
      <c r="JT29" s="30"/>
      <c r="JU29" s="30"/>
      <c r="JV29" s="30"/>
      <c r="JW29" s="30"/>
      <c r="JX29" s="30"/>
      <c r="JY29" s="30"/>
      <c r="JZ29" s="30"/>
      <c r="KA29" s="30"/>
      <c r="KB29" s="30"/>
      <c r="KC29" s="30"/>
      <c r="KD29" s="30"/>
      <c r="KE29" s="30"/>
      <c r="KF29" s="30"/>
      <c r="KG29" s="30"/>
      <c r="KH29" s="30"/>
      <c r="KI29" s="30"/>
      <c r="KJ29" s="30"/>
      <c r="KK29" s="30"/>
      <c r="KL29" s="30"/>
      <c r="KM29" s="30"/>
      <c r="KN29" s="30"/>
      <c r="KO29" s="30"/>
      <c r="KP29" s="30"/>
      <c r="KQ29" s="30"/>
      <c r="KR29" s="30"/>
      <c r="KS29" s="30"/>
      <c r="KT29" s="30"/>
      <c r="KU29" s="30"/>
      <c r="KV29" s="30"/>
      <c r="KW29" s="30"/>
      <c r="KX29" s="30">
        <v>1</v>
      </c>
      <c r="KY29" s="30"/>
      <c r="KZ29" s="30"/>
      <c r="LA29" s="30"/>
      <c r="LB29" s="30"/>
      <c r="LC29" s="30"/>
      <c r="LD29" s="30"/>
      <c r="LE29" s="30"/>
      <c r="LF29" s="30"/>
      <c r="LG29" s="30"/>
      <c r="LH29" s="30"/>
      <c r="LI29" s="30"/>
      <c r="LJ29" s="30"/>
      <c r="LK29" s="30"/>
      <c r="LL29" s="30"/>
      <c r="LM29" s="30"/>
      <c r="LN29" s="30"/>
      <c r="LO29" s="30"/>
      <c r="LP29" s="30"/>
      <c r="LQ29" s="30"/>
      <c r="LR29" s="30"/>
      <c r="LS29" s="30"/>
      <c r="LT29" s="30"/>
      <c r="LU29" s="30"/>
      <c r="LV29" s="30"/>
      <c r="LW29" s="30"/>
      <c r="LX29" s="30"/>
      <c r="LY29" s="30"/>
      <c r="LZ29" s="30"/>
      <c r="MA29" s="30"/>
      <c r="MB29" s="30"/>
      <c r="MC29" s="30"/>
      <c r="MD29" s="30"/>
      <c r="ME29" s="30"/>
      <c r="MF29" s="30"/>
      <c r="MG29" s="30"/>
      <c r="MH29" s="30"/>
      <c r="MI29" s="30"/>
      <c r="MJ29" s="30"/>
      <c r="MK29" s="30"/>
      <c r="ML29" s="30"/>
      <c r="MM29" s="30"/>
      <c r="MN29" s="30"/>
      <c r="MO29" s="30"/>
      <c r="MP29" s="30"/>
      <c r="MQ29" s="30"/>
      <c r="MR29" s="30"/>
      <c r="MS29" s="30"/>
      <c r="MT29" s="30"/>
      <c r="MU29" s="30"/>
      <c r="MV29" s="30"/>
      <c r="MW29" s="30"/>
      <c r="MX29" s="30"/>
      <c r="MY29" s="30"/>
      <c r="MZ29" s="30"/>
      <c r="NA29" s="30"/>
      <c r="NB29" s="30"/>
      <c r="NC29" s="30"/>
      <c r="ND29" s="30"/>
      <c r="NE29" s="30"/>
      <c r="NF29" s="30"/>
      <c r="NG29" s="30"/>
      <c r="NH29" s="30"/>
      <c r="NI29" s="30"/>
      <c r="NJ29" s="30"/>
      <c r="NK29" s="30"/>
      <c r="NL29" s="30"/>
      <c r="NM29" s="30"/>
      <c r="NN29" s="30"/>
      <c r="NO29" s="30"/>
      <c r="NP29" s="30"/>
      <c r="NQ29" s="30"/>
      <c r="NR29" s="30"/>
      <c r="NS29" s="30"/>
      <c r="NT29" s="30"/>
      <c r="NU29" s="30"/>
      <c r="NV29" s="30"/>
      <c r="NW29" s="30"/>
      <c r="NX29" s="30"/>
      <c r="NY29" s="30"/>
      <c r="NZ29" s="30"/>
      <c r="OA29" s="30"/>
      <c r="OB29" s="30"/>
      <c r="OC29" s="30"/>
      <c r="OD29" s="30"/>
      <c r="OE29" s="30"/>
      <c r="OF29" s="30"/>
      <c r="OG29" s="42"/>
    </row>
    <row r="30" spans="7:397">
      <c r="H30" t="s">
        <v>407</v>
      </c>
      <c r="I30" s="5">
        <f t="shared" si="343"/>
        <v>1</v>
      </c>
      <c r="J30" s="5" t="s">
        <v>408</v>
      </c>
      <c r="K30">
        <f t="shared" si="344"/>
        <v>2.0953931382379269E-2</v>
      </c>
      <c r="AC30" s="41"/>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c r="DA30" s="30"/>
      <c r="DB30" s="30"/>
      <c r="DC30" s="30"/>
      <c r="DD30" s="30"/>
      <c r="DE30" s="30"/>
      <c r="DF30" s="30"/>
      <c r="DG30" s="30"/>
      <c r="DH30" s="30"/>
      <c r="DI30" s="30"/>
      <c r="DJ30" s="30"/>
      <c r="DK30" s="30"/>
      <c r="DL30" s="30"/>
      <c r="DM30" s="30"/>
      <c r="DN30" s="30"/>
      <c r="DO30" s="30"/>
      <c r="DP30" s="30"/>
      <c r="DQ30" s="30"/>
      <c r="DR30" s="30"/>
      <c r="DS30" s="30"/>
      <c r="DT30" s="30"/>
      <c r="DU30" s="30"/>
      <c r="DV30" s="30"/>
      <c r="DW30" s="30"/>
      <c r="DX30" s="30"/>
      <c r="DY30" s="30"/>
      <c r="DZ30" s="30"/>
      <c r="EA30" s="30"/>
      <c r="EB30" s="30"/>
      <c r="EC30" s="30"/>
      <c r="ED30" s="30"/>
      <c r="EE30" s="30"/>
      <c r="EF30" s="30"/>
      <c r="EG30" s="30"/>
      <c r="EH30" s="30"/>
      <c r="EI30" s="30"/>
      <c r="EJ30" s="30"/>
      <c r="EK30" s="30"/>
      <c r="EL30" s="30"/>
      <c r="EM30" s="30"/>
      <c r="EN30" s="30"/>
      <c r="EO30" s="30"/>
      <c r="EP30" s="30"/>
      <c r="EQ30" s="30"/>
      <c r="ER30" s="30"/>
      <c r="ES30" s="30"/>
      <c r="ET30" s="30"/>
      <c r="EU30" s="30"/>
      <c r="EV30" s="30"/>
      <c r="EW30" s="30"/>
      <c r="EX30" s="30"/>
      <c r="EY30" s="30">
        <v>1</v>
      </c>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c r="IB30" s="30"/>
      <c r="IC30" s="30"/>
      <c r="ID30" s="30"/>
      <c r="IE30" s="30"/>
      <c r="IF30" s="30"/>
      <c r="IG30" s="30"/>
      <c r="IH30" s="30"/>
      <c r="II30" s="30"/>
      <c r="IJ30" s="30"/>
      <c r="IK30" s="30"/>
      <c r="IL30" s="30"/>
      <c r="IM30" s="30"/>
      <c r="IN30" s="30"/>
      <c r="IO30" s="30"/>
      <c r="IP30" s="30"/>
      <c r="IQ30" s="30"/>
      <c r="IR30" s="30"/>
      <c r="IS30" s="30"/>
      <c r="IT30" s="30"/>
      <c r="IU30" s="30"/>
      <c r="IV30" s="30"/>
      <c r="IW30" s="30"/>
      <c r="IX30" s="30"/>
      <c r="IY30" s="30"/>
      <c r="IZ30" s="30"/>
      <c r="JA30" s="30"/>
      <c r="JB30" s="30"/>
      <c r="JC30" s="30"/>
      <c r="JD30" s="30"/>
      <c r="JE30" s="30"/>
      <c r="JF30" s="30"/>
      <c r="JG30" s="30"/>
      <c r="JH30" s="30"/>
      <c r="JI30" s="30"/>
      <c r="JJ30" s="30"/>
      <c r="JK30" s="30"/>
      <c r="JL30" s="30"/>
      <c r="JM30" s="30"/>
      <c r="JN30" s="30"/>
      <c r="JO30" s="30"/>
      <c r="JP30" s="30"/>
      <c r="JQ30" s="30"/>
      <c r="JR30" s="30"/>
      <c r="JS30" s="30"/>
      <c r="JT30" s="30"/>
      <c r="JU30" s="30"/>
      <c r="JV30" s="30"/>
      <c r="JW30" s="30"/>
      <c r="JX30" s="30"/>
      <c r="JY30" s="30"/>
      <c r="JZ30" s="30"/>
      <c r="KA30" s="30"/>
      <c r="KB30" s="30"/>
      <c r="KC30" s="30"/>
      <c r="KD30" s="30"/>
      <c r="KE30" s="30"/>
      <c r="KF30" s="30"/>
      <c r="KG30" s="30"/>
      <c r="KH30" s="30"/>
      <c r="KI30" s="30"/>
      <c r="KJ30" s="30"/>
      <c r="KK30" s="30"/>
      <c r="KL30" s="30"/>
      <c r="KM30" s="30"/>
      <c r="KN30" s="30"/>
      <c r="KO30" s="30"/>
      <c r="KP30" s="30"/>
      <c r="KQ30" s="30"/>
      <c r="KR30" s="30"/>
      <c r="KS30" s="30"/>
      <c r="KT30" s="30"/>
      <c r="KU30" s="30"/>
      <c r="KV30" s="30"/>
      <c r="KW30" s="30"/>
      <c r="KX30" s="30"/>
      <c r="KY30" s="30"/>
      <c r="KZ30" s="30"/>
      <c r="LA30" s="30"/>
      <c r="LB30" s="30"/>
      <c r="LC30" s="30"/>
      <c r="LD30" s="30"/>
      <c r="LE30" s="30"/>
      <c r="LF30" s="30"/>
      <c r="LG30" s="30"/>
      <c r="LH30" s="30"/>
      <c r="LI30" s="30"/>
      <c r="LJ30" s="30"/>
      <c r="LK30" s="30"/>
      <c r="LL30" s="30"/>
      <c r="LM30" s="30"/>
      <c r="LN30" s="30"/>
      <c r="LO30" s="30"/>
      <c r="LP30" s="30"/>
      <c r="LQ30" s="30"/>
      <c r="LR30" s="30"/>
      <c r="LS30" s="30"/>
      <c r="LT30" s="30"/>
      <c r="LU30" s="30"/>
      <c r="LV30" s="30"/>
      <c r="LW30" s="30"/>
      <c r="LX30" s="30"/>
      <c r="LY30" s="30"/>
      <c r="LZ30" s="30"/>
      <c r="MA30" s="30"/>
      <c r="MB30" s="30"/>
      <c r="MC30" s="30"/>
      <c r="MD30" s="30"/>
      <c r="ME30" s="30"/>
      <c r="MF30" s="30"/>
      <c r="MG30" s="30"/>
      <c r="MH30" s="30"/>
      <c r="MI30" s="30"/>
      <c r="MJ30" s="30"/>
      <c r="MK30" s="30"/>
      <c r="ML30" s="30"/>
      <c r="MM30" s="30"/>
      <c r="MN30" s="30"/>
      <c r="MO30" s="30"/>
      <c r="MP30" s="30"/>
      <c r="MQ30" s="30"/>
      <c r="MR30" s="30"/>
      <c r="MS30" s="30"/>
      <c r="MT30" s="30"/>
      <c r="MU30" s="30"/>
      <c r="MV30" s="30"/>
      <c r="MW30" s="30"/>
      <c r="MX30" s="30"/>
      <c r="MY30" s="30"/>
      <c r="MZ30" s="30"/>
      <c r="NA30" s="30"/>
      <c r="NB30" s="30"/>
      <c r="NC30" s="30"/>
      <c r="ND30" s="30"/>
      <c r="NE30" s="30"/>
      <c r="NF30" s="30"/>
      <c r="NG30" s="30"/>
      <c r="NH30" s="30"/>
      <c r="NI30" s="30"/>
      <c r="NJ30" s="30"/>
      <c r="NK30" s="30"/>
      <c r="NL30" s="30"/>
      <c r="NM30" s="30"/>
      <c r="NN30" s="30"/>
      <c r="NO30" s="30"/>
      <c r="NP30" s="30"/>
      <c r="NQ30" s="30"/>
      <c r="NR30" s="30"/>
      <c r="NS30" s="30"/>
      <c r="NT30" s="30"/>
      <c r="NU30" s="30"/>
      <c r="NV30" s="30"/>
      <c r="NW30" s="30"/>
      <c r="NX30" s="30"/>
      <c r="NY30" s="30"/>
      <c r="NZ30" s="30"/>
      <c r="OA30" s="30"/>
      <c r="OB30" s="30"/>
      <c r="OC30" s="30"/>
      <c r="OD30" s="30"/>
      <c r="OE30" s="30"/>
      <c r="OF30" s="30"/>
      <c r="OG30" s="42"/>
    </row>
    <row r="31" spans="7:397">
      <c r="H31" s="4" t="s">
        <v>409</v>
      </c>
      <c r="I31" s="5">
        <f t="shared" si="343"/>
        <v>2</v>
      </c>
      <c r="J31" s="5" t="s">
        <v>410</v>
      </c>
      <c r="K31">
        <f t="shared" si="344"/>
        <v>71.45291992119391</v>
      </c>
      <c r="AC31" s="41"/>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c r="IB31" s="30"/>
      <c r="IC31" s="30"/>
      <c r="ID31" s="30"/>
      <c r="IE31" s="30"/>
      <c r="IF31" s="30"/>
      <c r="IG31" s="30">
        <v>1</v>
      </c>
      <c r="IH31" s="30"/>
      <c r="II31" s="30"/>
      <c r="IJ31" s="30"/>
      <c r="IK31" s="30"/>
      <c r="IL31" s="30"/>
      <c r="IM31" s="30"/>
      <c r="IN31" s="30"/>
      <c r="IO31" s="30"/>
      <c r="IP31" s="30"/>
      <c r="IQ31" s="30"/>
      <c r="IR31" s="30">
        <v>1</v>
      </c>
      <c r="IS31" s="30"/>
      <c r="IT31" s="30"/>
      <c r="IU31" s="30"/>
      <c r="IV31" s="30"/>
      <c r="IW31" s="30"/>
      <c r="IX31" s="30"/>
      <c r="IY31" s="30"/>
      <c r="IZ31" s="30"/>
      <c r="JA31" s="30"/>
      <c r="JB31" s="30"/>
      <c r="JC31" s="30"/>
      <c r="JD31" s="30"/>
      <c r="JE31" s="30"/>
      <c r="JF31" s="30"/>
      <c r="JG31" s="30"/>
      <c r="JH31" s="30"/>
      <c r="JI31" s="30"/>
      <c r="JJ31" s="30"/>
      <c r="JK31" s="30"/>
      <c r="JL31" s="30"/>
      <c r="JM31" s="30"/>
      <c r="JN31" s="30"/>
      <c r="JO31" s="30"/>
      <c r="JP31" s="30"/>
      <c r="JQ31" s="30"/>
      <c r="JR31" s="30"/>
      <c r="JS31" s="30"/>
      <c r="JT31" s="30"/>
      <c r="JU31" s="30"/>
      <c r="JV31" s="30"/>
      <c r="JW31" s="30"/>
      <c r="JX31" s="30"/>
      <c r="JY31" s="30"/>
      <c r="JZ31" s="30"/>
      <c r="KA31" s="30"/>
      <c r="KB31" s="30"/>
      <c r="KC31" s="30"/>
      <c r="KD31" s="30"/>
      <c r="KE31" s="30"/>
      <c r="KF31" s="30"/>
      <c r="KG31" s="30"/>
      <c r="KH31" s="30"/>
      <c r="KI31" s="30"/>
      <c r="KJ31" s="30"/>
      <c r="KK31" s="30"/>
      <c r="KL31" s="30"/>
      <c r="KM31" s="30"/>
      <c r="KN31" s="30"/>
      <c r="KO31" s="30"/>
      <c r="KP31" s="30"/>
      <c r="KQ31" s="30"/>
      <c r="KR31" s="30"/>
      <c r="KS31" s="30"/>
      <c r="KT31" s="30"/>
      <c r="KU31" s="30"/>
      <c r="KV31" s="30"/>
      <c r="KW31" s="30"/>
      <c r="KX31" s="30"/>
      <c r="KY31" s="30"/>
      <c r="KZ31" s="30"/>
      <c r="LA31" s="30"/>
      <c r="LB31" s="30"/>
      <c r="LC31" s="30"/>
      <c r="LD31" s="30"/>
      <c r="LE31" s="30"/>
      <c r="LF31" s="30"/>
      <c r="LG31" s="30"/>
      <c r="LH31" s="30"/>
      <c r="LI31" s="30"/>
      <c r="LJ31" s="30"/>
      <c r="LK31" s="30"/>
      <c r="LL31" s="30"/>
      <c r="LM31" s="30"/>
      <c r="LN31" s="30"/>
      <c r="LO31" s="30"/>
      <c r="LP31" s="30"/>
      <c r="LQ31" s="30"/>
      <c r="LR31" s="30"/>
      <c r="LS31" s="30"/>
      <c r="LT31" s="30"/>
      <c r="LU31" s="30"/>
      <c r="LV31" s="30"/>
      <c r="LW31" s="30"/>
      <c r="LX31" s="30"/>
      <c r="LY31" s="30"/>
      <c r="LZ31" s="30"/>
      <c r="MA31" s="30"/>
      <c r="MB31" s="30"/>
      <c r="MC31" s="30"/>
      <c r="MD31" s="30"/>
      <c r="ME31" s="30"/>
      <c r="MF31" s="30"/>
      <c r="MG31" s="30"/>
      <c r="MH31" s="30"/>
      <c r="MI31" s="30"/>
      <c r="MJ31" s="30"/>
      <c r="MK31" s="30"/>
      <c r="ML31" s="30"/>
      <c r="MM31" s="30"/>
      <c r="MN31" s="30"/>
      <c r="MO31" s="30"/>
      <c r="MP31" s="30"/>
      <c r="MQ31" s="30"/>
      <c r="MR31" s="30"/>
      <c r="MS31" s="30"/>
      <c r="MT31" s="30"/>
      <c r="MU31" s="30"/>
      <c r="MV31" s="30"/>
      <c r="MW31" s="30"/>
      <c r="MX31" s="30"/>
      <c r="MY31" s="30"/>
      <c r="MZ31" s="30"/>
      <c r="NA31" s="30"/>
      <c r="NB31" s="30"/>
      <c r="NC31" s="30"/>
      <c r="ND31" s="30"/>
      <c r="NE31" s="30"/>
      <c r="NF31" s="30"/>
      <c r="NG31" s="30"/>
      <c r="NH31" s="30"/>
      <c r="NI31" s="30"/>
      <c r="NJ31" s="30"/>
      <c r="NK31" s="30"/>
      <c r="NL31" s="30"/>
      <c r="NM31" s="30"/>
      <c r="NN31" s="30"/>
      <c r="NO31" s="30"/>
      <c r="NP31" s="30"/>
      <c r="NQ31" s="30"/>
      <c r="NR31" s="30"/>
      <c r="NS31" s="30"/>
      <c r="NT31" s="30"/>
      <c r="NU31" s="30"/>
      <c r="NV31" s="30"/>
      <c r="NW31" s="30"/>
      <c r="NX31" s="30"/>
      <c r="NY31" s="30"/>
      <c r="NZ31" s="30"/>
      <c r="OA31" s="30"/>
      <c r="OB31" s="30"/>
      <c r="OC31" s="30"/>
      <c r="OD31" s="30"/>
      <c r="OE31" s="30"/>
      <c r="OF31" s="30"/>
      <c r="OG31" s="42"/>
    </row>
    <row r="32" spans="7:397">
      <c r="H32" s="5"/>
      <c r="I32" s="5">
        <f t="shared" si="343"/>
        <v>1</v>
      </c>
      <c r="J32" s="5" t="s">
        <v>411</v>
      </c>
      <c r="K32">
        <f t="shared" si="344"/>
        <v>19.618540707064799</v>
      </c>
      <c r="AC32" s="41"/>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v>1</v>
      </c>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0"/>
      <c r="HS32" s="30"/>
      <c r="HT32" s="30"/>
      <c r="HU32" s="30"/>
      <c r="HV32" s="30"/>
      <c r="HW32" s="30"/>
      <c r="HX32" s="30"/>
      <c r="HY32" s="30"/>
      <c r="HZ32" s="30"/>
      <c r="IA32" s="30"/>
      <c r="IB32" s="30"/>
      <c r="IC32" s="30"/>
      <c r="ID32" s="30"/>
      <c r="IE32" s="30"/>
      <c r="IF32" s="30"/>
      <c r="IG32" s="30"/>
      <c r="IH32" s="30"/>
      <c r="II32" s="30"/>
      <c r="IJ32" s="30"/>
      <c r="IK32" s="30"/>
      <c r="IL32" s="30"/>
      <c r="IM32" s="30"/>
      <c r="IN32" s="30"/>
      <c r="IO32" s="30"/>
      <c r="IP32" s="30"/>
      <c r="IQ32" s="30"/>
      <c r="IR32" s="30"/>
      <c r="IS32" s="30"/>
      <c r="IT32" s="30"/>
      <c r="IU32" s="30"/>
      <c r="IV32" s="30"/>
      <c r="IW32" s="30"/>
      <c r="IX32" s="30"/>
      <c r="IY32" s="30"/>
      <c r="IZ32" s="30"/>
      <c r="JA32" s="30"/>
      <c r="JB32" s="30"/>
      <c r="JC32" s="30"/>
      <c r="JD32" s="30"/>
      <c r="JE32" s="30"/>
      <c r="JF32" s="30"/>
      <c r="JG32" s="30"/>
      <c r="JH32" s="30"/>
      <c r="JI32" s="30"/>
      <c r="JJ32" s="30"/>
      <c r="JK32" s="30"/>
      <c r="JL32" s="30"/>
      <c r="JM32" s="30"/>
      <c r="JN32" s="30"/>
      <c r="JO32" s="30"/>
      <c r="JP32" s="30"/>
      <c r="JQ32" s="30"/>
      <c r="JR32" s="30"/>
      <c r="JS32" s="30"/>
      <c r="JT32" s="30"/>
      <c r="JU32" s="30"/>
      <c r="JV32" s="30"/>
      <c r="JW32" s="30"/>
      <c r="JX32" s="30"/>
      <c r="JY32" s="30"/>
      <c r="JZ32" s="30"/>
      <c r="KA32" s="30"/>
      <c r="KB32" s="30"/>
      <c r="KC32" s="30"/>
      <c r="KD32" s="30"/>
      <c r="KE32" s="30"/>
      <c r="KF32" s="30"/>
      <c r="KG32" s="30"/>
      <c r="KH32" s="30"/>
      <c r="KI32" s="30"/>
      <c r="KJ32" s="30"/>
      <c r="KK32" s="30"/>
      <c r="KL32" s="30"/>
      <c r="KM32" s="30"/>
      <c r="KN32" s="30"/>
      <c r="KO32" s="30"/>
      <c r="KP32" s="30"/>
      <c r="KQ32" s="30"/>
      <c r="KR32" s="30"/>
      <c r="KS32" s="30"/>
      <c r="KT32" s="30"/>
      <c r="KU32" s="30"/>
      <c r="KV32" s="30"/>
      <c r="KW32" s="30"/>
      <c r="KX32" s="30"/>
      <c r="KY32" s="30"/>
      <c r="KZ32" s="30"/>
      <c r="LA32" s="30"/>
      <c r="LB32" s="30"/>
      <c r="LC32" s="30"/>
      <c r="LD32" s="30"/>
      <c r="LE32" s="30"/>
      <c r="LF32" s="30"/>
      <c r="LG32" s="30"/>
      <c r="LH32" s="30"/>
      <c r="LI32" s="30"/>
      <c r="LJ32" s="30"/>
      <c r="LK32" s="30"/>
      <c r="LL32" s="30"/>
      <c r="LM32" s="30"/>
      <c r="LN32" s="30"/>
      <c r="LO32" s="30"/>
      <c r="LP32" s="30"/>
      <c r="LQ32" s="30"/>
      <c r="LR32" s="30"/>
      <c r="LS32" s="30"/>
      <c r="LT32" s="30"/>
      <c r="LU32" s="30"/>
      <c r="LV32" s="30"/>
      <c r="LW32" s="30"/>
      <c r="LX32" s="30"/>
      <c r="LY32" s="30"/>
      <c r="LZ32" s="30"/>
      <c r="MA32" s="30"/>
      <c r="MB32" s="30"/>
      <c r="MC32" s="30"/>
      <c r="MD32" s="30"/>
      <c r="ME32" s="30"/>
      <c r="MF32" s="30"/>
      <c r="MG32" s="30"/>
      <c r="MH32" s="30"/>
      <c r="MI32" s="30"/>
      <c r="MJ32" s="30"/>
      <c r="MK32" s="30"/>
      <c r="ML32" s="30"/>
      <c r="MM32" s="30"/>
      <c r="MN32" s="30"/>
      <c r="MO32" s="30"/>
      <c r="MP32" s="30"/>
      <c r="MQ32" s="30"/>
      <c r="MR32" s="30"/>
      <c r="MS32" s="30"/>
      <c r="MT32" s="30"/>
      <c r="MU32" s="30"/>
      <c r="MV32" s="30"/>
      <c r="MW32" s="30"/>
      <c r="MX32" s="30"/>
      <c r="MY32" s="30"/>
      <c r="MZ32" s="30"/>
      <c r="NA32" s="30"/>
      <c r="NB32" s="30"/>
      <c r="NC32" s="30"/>
      <c r="ND32" s="30"/>
      <c r="NE32" s="30"/>
      <c r="NF32" s="30"/>
      <c r="NG32" s="30"/>
      <c r="NH32" s="30"/>
      <c r="NI32" s="30"/>
      <c r="NJ32" s="30"/>
      <c r="NK32" s="30"/>
      <c r="NL32" s="30"/>
      <c r="NM32" s="30"/>
      <c r="NN32" s="30"/>
      <c r="NO32" s="30"/>
      <c r="NP32" s="30"/>
      <c r="NQ32" s="30"/>
      <c r="NR32" s="30"/>
      <c r="NS32" s="30"/>
      <c r="NT32" s="30"/>
      <c r="NU32" s="30"/>
      <c r="NV32" s="30"/>
      <c r="NW32" s="30"/>
      <c r="NX32" s="30"/>
      <c r="NY32" s="30"/>
      <c r="NZ32" s="30"/>
      <c r="OA32" s="30"/>
      <c r="OB32" s="30"/>
      <c r="OC32" s="30"/>
      <c r="OD32" s="30"/>
      <c r="OE32" s="30"/>
      <c r="OF32" s="30"/>
      <c r="OG32" s="42"/>
    </row>
    <row r="33" spans="7:397">
      <c r="H33" s="4" t="s">
        <v>412</v>
      </c>
      <c r="I33" s="5">
        <f t="shared" si="343"/>
        <v>1</v>
      </c>
      <c r="J33" s="5" t="s">
        <v>413</v>
      </c>
      <c r="K33">
        <f t="shared" si="344"/>
        <v>0.14357100449656771</v>
      </c>
      <c r="AC33" s="41"/>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c r="DA33" s="30"/>
      <c r="DB33" s="30"/>
      <c r="DC33" s="30"/>
      <c r="DD33" s="30"/>
      <c r="DE33" s="30"/>
      <c r="DF33" s="30"/>
      <c r="DG33" s="30"/>
      <c r="DH33" s="30"/>
      <c r="DI33" s="30"/>
      <c r="DJ33" s="30"/>
      <c r="DK33" s="30"/>
      <c r="DL33" s="30"/>
      <c r="DM33" s="30"/>
      <c r="DN33" s="30"/>
      <c r="DO33" s="30"/>
      <c r="DP33" s="30"/>
      <c r="DQ33" s="30"/>
      <c r="DR33" s="30"/>
      <c r="DS33" s="30"/>
      <c r="DT33" s="30"/>
      <c r="DU33" s="30"/>
      <c r="DV33" s="30"/>
      <c r="DW33" s="30"/>
      <c r="DX33" s="30"/>
      <c r="DY33" s="30"/>
      <c r="DZ33" s="30"/>
      <c r="EA33" s="30"/>
      <c r="EB33" s="30"/>
      <c r="EC33" s="30"/>
      <c r="ED33" s="30"/>
      <c r="EE33" s="30"/>
      <c r="EF33" s="30"/>
      <c r="EG33" s="30"/>
      <c r="EH33" s="30"/>
      <c r="EI33" s="30"/>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v>1</v>
      </c>
      <c r="FU33" s="30"/>
      <c r="FV33" s="30"/>
      <c r="FW33" s="30"/>
      <c r="FX33" s="30"/>
      <c r="FY33" s="30"/>
      <c r="FZ33" s="30"/>
      <c r="GA33" s="30"/>
      <c r="GB33" s="30"/>
      <c r="GC33" s="30"/>
      <c r="GD33" s="30"/>
      <c r="GE33" s="30"/>
      <c r="GF33" s="30"/>
      <c r="GG33" s="30"/>
      <c r="GH33" s="30"/>
      <c r="GI33" s="30"/>
      <c r="GJ33" s="30"/>
      <c r="GK33" s="30"/>
      <c r="GL33" s="30"/>
      <c r="GM33" s="30"/>
      <c r="GN33" s="30"/>
      <c r="GO33" s="30"/>
      <c r="GP33" s="30"/>
      <c r="GQ33" s="30"/>
      <c r="GR33" s="30"/>
      <c r="GS33" s="30"/>
      <c r="GT33" s="30"/>
      <c r="GU33" s="30"/>
      <c r="GV33" s="30"/>
      <c r="GW33" s="30"/>
      <c r="GX33" s="30"/>
      <c r="GY33" s="30"/>
      <c r="GZ33" s="30"/>
      <c r="HA33" s="30"/>
      <c r="HB33" s="30"/>
      <c r="HC33" s="30"/>
      <c r="HD33" s="30"/>
      <c r="HE33" s="30"/>
      <c r="HF33" s="30"/>
      <c r="HG33" s="30"/>
      <c r="HH33" s="30"/>
      <c r="HI33" s="30"/>
      <c r="HJ33" s="30"/>
      <c r="HK33" s="30"/>
      <c r="HL33" s="30"/>
      <c r="HM33" s="30"/>
      <c r="HN33" s="30"/>
      <c r="HO33" s="30"/>
      <c r="HP33" s="30"/>
      <c r="HQ33" s="30"/>
      <c r="HR33" s="30"/>
      <c r="HS33" s="30"/>
      <c r="HT33" s="30"/>
      <c r="HU33" s="30"/>
      <c r="HV33" s="30"/>
      <c r="HW33" s="30"/>
      <c r="HX33" s="30"/>
      <c r="HY33" s="30"/>
      <c r="HZ33" s="30"/>
      <c r="IA33" s="30"/>
      <c r="IB33" s="30"/>
      <c r="IC33" s="30"/>
      <c r="ID33" s="30"/>
      <c r="IE33" s="30"/>
      <c r="IF33" s="30"/>
      <c r="IG33" s="30"/>
      <c r="IH33" s="30"/>
      <c r="II33" s="30"/>
      <c r="IJ33" s="30"/>
      <c r="IK33" s="30"/>
      <c r="IL33" s="30"/>
      <c r="IM33" s="30"/>
      <c r="IN33" s="30"/>
      <c r="IO33" s="30"/>
      <c r="IP33" s="30"/>
      <c r="IQ33" s="30"/>
      <c r="IR33" s="30"/>
      <c r="IS33" s="30"/>
      <c r="IT33" s="30"/>
      <c r="IU33" s="30"/>
      <c r="IV33" s="30"/>
      <c r="IW33" s="30"/>
      <c r="IX33" s="30"/>
      <c r="IY33" s="30"/>
      <c r="IZ33" s="30"/>
      <c r="JA33" s="30"/>
      <c r="JB33" s="30"/>
      <c r="JC33" s="30"/>
      <c r="JD33" s="30"/>
      <c r="JE33" s="30"/>
      <c r="JF33" s="30"/>
      <c r="JG33" s="30"/>
      <c r="JH33" s="30"/>
      <c r="JI33" s="30"/>
      <c r="JJ33" s="30"/>
      <c r="JK33" s="30"/>
      <c r="JL33" s="30"/>
      <c r="JM33" s="30"/>
      <c r="JN33" s="30"/>
      <c r="JO33" s="30"/>
      <c r="JP33" s="30"/>
      <c r="JQ33" s="30"/>
      <c r="JR33" s="30"/>
      <c r="JS33" s="30"/>
      <c r="JT33" s="30"/>
      <c r="JU33" s="30"/>
      <c r="JV33" s="30"/>
      <c r="JW33" s="30"/>
      <c r="JX33" s="30"/>
      <c r="JY33" s="30"/>
      <c r="JZ33" s="30"/>
      <c r="KA33" s="30"/>
      <c r="KB33" s="30"/>
      <c r="KC33" s="30"/>
      <c r="KD33" s="30"/>
      <c r="KE33" s="30"/>
      <c r="KF33" s="30"/>
      <c r="KG33" s="30"/>
      <c r="KH33" s="30"/>
      <c r="KI33" s="30"/>
      <c r="KJ33" s="30"/>
      <c r="KK33" s="30"/>
      <c r="KL33" s="30"/>
      <c r="KM33" s="30"/>
      <c r="KN33" s="30"/>
      <c r="KO33" s="30"/>
      <c r="KP33" s="30"/>
      <c r="KQ33" s="30"/>
      <c r="KR33" s="30"/>
      <c r="KS33" s="30"/>
      <c r="KT33" s="30"/>
      <c r="KU33" s="30"/>
      <c r="KV33" s="30"/>
      <c r="KW33" s="30"/>
      <c r="KX33" s="30"/>
      <c r="KY33" s="30"/>
      <c r="KZ33" s="30"/>
      <c r="LA33" s="30"/>
      <c r="LB33" s="30"/>
      <c r="LC33" s="30"/>
      <c r="LD33" s="30"/>
      <c r="LE33" s="30"/>
      <c r="LF33" s="30"/>
      <c r="LG33" s="30"/>
      <c r="LH33" s="30"/>
      <c r="LI33" s="30"/>
      <c r="LJ33" s="30"/>
      <c r="LK33" s="30"/>
      <c r="LL33" s="30"/>
      <c r="LM33" s="30"/>
      <c r="LN33" s="30"/>
      <c r="LO33" s="30"/>
      <c r="LP33" s="30"/>
      <c r="LQ33" s="30"/>
      <c r="LR33" s="30"/>
      <c r="LS33" s="30"/>
      <c r="LT33" s="30"/>
      <c r="LU33" s="30"/>
      <c r="LV33" s="30"/>
      <c r="LW33" s="30"/>
      <c r="LX33" s="30"/>
      <c r="LY33" s="30"/>
      <c r="LZ33" s="30"/>
      <c r="MA33" s="30"/>
      <c r="MB33" s="30"/>
      <c r="MC33" s="30"/>
      <c r="MD33" s="30"/>
      <c r="ME33" s="30"/>
      <c r="MF33" s="30"/>
      <c r="MG33" s="30"/>
      <c r="MH33" s="30"/>
      <c r="MI33" s="30"/>
      <c r="MJ33" s="30"/>
      <c r="MK33" s="30"/>
      <c r="ML33" s="30"/>
      <c r="MM33" s="30"/>
      <c r="MN33" s="30"/>
      <c r="MO33" s="30"/>
      <c r="MP33" s="30"/>
      <c r="MQ33" s="30"/>
      <c r="MR33" s="30"/>
      <c r="MS33" s="30"/>
      <c r="MT33" s="30"/>
      <c r="MU33" s="30"/>
      <c r="MV33" s="30"/>
      <c r="MW33" s="30"/>
      <c r="MX33" s="30"/>
      <c r="MY33" s="30"/>
      <c r="MZ33" s="30"/>
      <c r="NA33" s="30"/>
      <c r="NB33" s="30"/>
      <c r="NC33" s="30"/>
      <c r="ND33" s="30"/>
      <c r="NE33" s="30"/>
      <c r="NF33" s="30"/>
      <c r="NG33" s="30"/>
      <c r="NH33" s="30"/>
      <c r="NI33" s="30"/>
      <c r="NJ33" s="30"/>
      <c r="NK33" s="30"/>
      <c r="NL33" s="30"/>
      <c r="NM33" s="30"/>
      <c r="NN33" s="30"/>
      <c r="NO33" s="30"/>
      <c r="NP33" s="30"/>
      <c r="NQ33" s="30"/>
      <c r="NR33" s="30"/>
      <c r="NS33" s="30"/>
      <c r="NT33" s="30"/>
      <c r="NU33" s="30"/>
      <c r="NV33" s="30"/>
      <c r="NW33" s="30"/>
      <c r="NX33" s="30"/>
      <c r="NY33" s="30"/>
      <c r="NZ33" s="30"/>
      <c r="OA33" s="30"/>
      <c r="OB33" s="30"/>
      <c r="OC33" s="30"/>
      <c r="OD33" s="30"/>
      <c r="OE33" s="30"/>
      <c r="OF33" s="30"/>
      <c r="OG33" s="42"/>
    </row>
    <row r="34" spans="7:397">
      <c r="I34" s="5">
        <f t="shared" si="343"/>
        <v>1</v>
      </c>
      <c r="J34" s="5" t="s">
        <v>414</v>
      </c>
      <c r="K34">
        <f t="shared" si="344"/>
        <v>3.0029398177539201E-2</v>
      </c>
      <c r="AC34" s="41"/>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c r="DA34" s="30"/>
      <c r="DB34" s="30"/>
      <c r="DC34" s="30"/>
      <c r="DD34" s="30"/>
      <c r="DE34" s="30"/>
      <c r="DF34" s="30"/>
      <c r="DG34" s="30"/>
      <c r="DH34" s="30"/>
      <c r="DI34" s="30"/>
      <c r="DJ34" s="30"/>
      <c r="DK34" s="30"/>
      <c r="DL34" s="30"/>
      <c r="DM34" s="30"/>
      <c r="DN34" s="30"/>
      <c r="DO34" s="30"/>
      <c r="DP34" s="30"/>
      <c r="DQ34" s="30"/>
      <c r="DR34" s="30"/>
      <c r="DS34" s="30"/>
      <c r="DT34" s="30"/>
      <c r="DU34" s="30"/>
      <c r="DV34" s="30"/>
      <c r="DW34" s="30"/>
      <c r="DX34" s="30"/>
      <c r="DY34" s="30"/>
      <c r="DZ34" s="30"/>
      <c r="EA34" s="30"/>
      <c r="EB34" s="30"/>
      <c r="EC34" s="30"/>
      <c r="ED34" s="30"/>
      <c r="EE34" s="30"/>
      <c r="EF34" s="30"/>
      <c r="EG34" s="30"/>
      <c r="EH34" s="30"/>
      <c r="EI34" s="30"/>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6">
        <v>1</v>
      </c>
      <c r="FS34" s="30"/>
      <c r="FT34" s="30"/>
      <c r="FU34" s="30"/>
      <c r="FV34" s="30"/>
      <c r="FW34" s="30"/>
      <c r="FX34" s="30"/>
      <c r="FY34" s="30"/>
      <c r="FZ34" s="30"/>
      <c r="GA34" s="30"/>
      <c r="GB34" s="30"/>
      <c r="GC34" s="30"/>
      <c r="GD34" s="30"/>
      <c r="GE34" s="30"/>
      <c r="GF34" s="30"/>
      <c r="GG34" s="30"/>
      <c r="GH34" s="30"/>
      <c r="GI34" s="30"/>
      <c r="GJ34" s="30"/>
      <c r="GK34" s="30"/>
      <c r="GL34" s="30"/>
      <c r="GM34" s="30"/>
      <c r="GN34" s="30"/>
      <c r="GO34" s="30"/>
      <c r="GP34" s="30"/>
      <c r="GQ34" s="30"/>
      <c r="GR34" s="30"/>
      <c r="GS34" s="30"/>
      <c r="GT34" s="30"/>
      <c r="GU34" s="30"/>
      <c r="GV34" s="30"/>
      <c r="GW34" s="30"/>
      <c r="GX34" s="30"/>
      <c r="GY34" s="30"/>
      <c r="GZ34" s="30"/>
      <c r="HA34" s="30"/>
      <c r="HB34" s="30"/>
      <c r="HC34" s="30"/>
      <c r="HD34" s="30"/>
      <c r="HE34" s="30"/>
      <c r="HF34" s="30"/>
      <c r="HG34" s="30"/>
      <c r="HH34" s="30"/>
      <c r="HI34" s="30"/>
      <c r="HJ34" s="30"/>
      <c r="HK34" s="30"/>
      <c r="HL34" s="30"/>
      <c r="HM34" s="30"/>
      <c r="HN34" s="30"/>
      <c r="HO34" s="30"/>
      <c r="HP34" s="30"/>
      <c r="HQ34" s="30"/>
      <c r="HR34" s="30"/>
      <c r="HS34" s="30"/>
      <c r="HT34" s="30"/>
      <c r="HU34" s="30"/>
      <c r="HV34" s="30"/>
      <c r="HW34" s="30"/>
      <c r="HX34" s="30"/>
      <c r="HY34" s="30"/>
      <c r="HZ34" s="30"/>
      <c r="IA34" s="30"/>
      <c r="IB34" s="30"/>
      <c r="IC34" s="30"/>
      <c r="ID34" s="30"/>
      <c r="IE34" s="30"/>
      <c r="IF34" s="30"/>
      <c r="IG34" s="30"/>
      <c r="IH34" s="30"/>
      <c r="II34" s="30"/>
      <c r="IJ34" s="30"/>
      <c r="IK34" s="30"/>
      <c r="IL34" s="30"/>
      <c r="IM34" s="30"/>
      <c r="IN34" s="30"/>
      <c r="IO34" s="30"/>
      <c r="IP34" s="30"/>
      <c r="IQ34" s="30"/>
      <c r="IR34" s="30"/>
      <c r="IS34" s="30"/>
      <c r="IT34" s="30"/>
      <c r="IU34" s="30"/>
      <c r="IV34" s="30"/>
      <c r="IW34" s="30"/>
      <c r="IX34" s="30"/>
      <c r="IY34" s="30"/>
      <c r="IZ34" s="30"/>
      <c r="JA34" s="30"/>
      <c r="JB34" s="30"/>
      <c r="JC34" s="30"/>
      <c r="JD34" s="30"/>
      <c r="JE34" s="30"/>
      <c r="JF34" s="30"/>
      <c r="JG34" s="30"/>
      <c r="JH34" s="30"/>
      <c r="JI34" s="30"/>
      <c r="JJ34" s="30"/>
      <c r="JK34" s="30"/>
      <c r="JL34" s="30"/>
      <c r="JM34" s="30"/>
      <c r="JN34" s="30"/>
      <c r="JO34" s="30"/>
      <c r="JP34" s="30"/>
      <c r="JQ34" s="30"/>
      <c r="JR34" s="30"/>
      <c r="JS34" s="30"/>
      <c r="JT34" s="30"/>
      <c r="JU34" s="30"/>
      <c r="JV34" s="30"/>
      <c r="JW34" s="30"/>
      <c r="JX34" s="30"/>
      <c r="JY34" s="30"/>
      <c r="JZ34" s="30"/>
      <c r="KA34" s="30"/>
      <c r="KB34" s="30"/>
      <c r="KC34" s="30"/>
      <c r="KD34" s="30"/>
      <c r="KE34" s="30"/>
      <c r="KF34" s="30"/>
      <c r="KG34" s="30"/>
      <c r="KH34" s="30"/>
      <c r="KI34" s="30"/>
      <c r="KJ34" s="30"/>
      <c r="KK34" s="30"/>
      <c r="KL34" s="30"/>
      <c r="KM34" s="30"/>
      <c r="KN34" s="30"/>
      <c r="KO34" s="30"/>
      <c r="KP34" s="30"/>
      <c r="KQ34" s="30"/>
      <c r="KR34" s="30"/>
      <c r="KS34" s="30"/>
      <c r="KT34" s="30"/>
      <c r="KU34" s="30"/>
      <c r="KV34" s="30"/>
      <c r="KW34" s="30"/>
      <c r="KX34" s="30"/>
      <c r="KY34" s="30"/>
      <c r="KZ34" s="30"/>
      <c r="LA34" s="30"/>
      <c r="LB34" s="30"/>
      <c r="LC34" s="30"/>
      <c r="LD34" s="30"/>
      <c r="LE34" s="30"/>
      <c r="LF34" s="30"/>
      <c r="LG34" s="30"/>
      <c r="LH34" s="30"/>
      <c r="LI34" s="30"/>
      <c r="LJ34" s="30"/>
      <c r="LK34" s="30"/>
      <c r="LL34" s="30"/>
      <c r="LM34" s="30"/>
      <c r="LN34" s="30"/>
      <c r="LO34" s="30"/>
      <c r="LP34" s="30"/>
      <c r="LQ34" s="30"/>
      <c r="LR34" s="30"/>
      <c r="LS34" s="30"/>
      <c r="LT34" s="30"/>
      <c r="LU34" s="30"/>
      <c r="LV34" s="30"/>
      <c r="LW34" s="30"/>
      <c r="LX34" s="30"/>
      <c r="LY34" s="30"/>
      <c r="LZ34" s="30"/>
      <c r="MA34" s="30"/>
      <c r="MB34" s="30"/>
      <c r="MC34" s="30"/>
      <c r="MD34" s="30"/>
      <c r="ME34" s="30"/>
      <c r="MF34" s="30"/>
      <c r="MG34" s="30"/>
      <c r="MH34" s="30"/>
      <c r="MI34" s="30"/>
      <c r="MJ34" s="30"/>
      <c r="MK34" s="30"/>
      <c r="ML34" s="30"/>
      <c r="MM34" s="30"/>
      <c r="MN34" s="30"/>
      <c r="MO34" s="30"/>
      <c r="MP34" s="30"/>
      <c r="MQ34" s="30"/>
      <c r="MR34" s="30"/>
      <c r="MS34" s="30"/>
      <c r="MT34" s="30"/>
      <c r="MU34" s="30"/>
      <c r="MV34" s="30"/>
      <c r="MW34" s="30"/>
      <c r="MX34" s="30"/>
      <c r="MY34" s="30"/>
      <c r="MZ34" s="30"/>
      <c r="NA34" s="30"/>
      <c r="NB34" s="30"/>
      <c r="NC34" s="30"/>
      <c r="ND34" s="30"/>
      <c r="NE34" s="30"/>
      <c r="NF34" s="30"/>
      <c r="NG34" s="30"/>
      <c r="NH34" s="30"/>
      <c r="NI34" s="30"/>
      <c r="NJ34" s="30"/>
      <c r="NK34" s="30"/>
      <c r="NL34" s="30"/>
      <c r="NM34" s="30"/>
      <c r="NN34" s="30"/>
      <c r="NO34" s="30"/>
      <c r="NP34" s="30"/>
      <c r="NQ34" s="30"/>
      <c r="NR34" s="30"/>
      <c r="NS34" s="30"/>
      <c r="NT34" s="30"/>
      <c r="NU34" s="30"/>
      <c r="NV34" s="30"/>
      <c r="NW34" s="30"/>
      <c r="NX34" s="30"/>
      <c r="NY34" s="30"/>
      <c r="NZ34" s="30"/>
      <c r="OA34" s="30"/>
      <c r="OB34" s="30"/>
      <c r="OC34" s="30"/>
      <c r="OD34" s="30"/>
      <c r="OE34" s="30"/>
      <c r="OF34" s="30"/>
      <c r="OG34" s="42"/>
    </row>
    <row r="35" spans="7:397">
      <c r="H35" s="4" t="s">
        <v>415</v>
      </c>
      <c r="I35" s="5">
        <f t="shared" si="343"/>
        <v>10</v>
      </c>
      <c r="J35" s="5" t="s">
        <v>416</v>
      </c>
      <c r="K35">
        <f t="shared" si="344"/>
        <v>40.049599789913302</v>
      </c>
      <c r="AC35" s="41"/>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v>1</v>
      </c>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v>1</v>
      </c>
      <c r="GW35" s="30"/>
      <c r="GX35" s="30"/>
      <c r="GY35" s="30"/>
      <c r="GZ35" s="30"/>
      <c r="HA35" s="30"/>
      <c r="HB35" s="30"/>
      <c r="HC35" s="30"/>
      <c r="HD35" s="30"/>
      <c r="HE35" s="30">
        <v>1</v>
      </c>
      <c r="HF35" s="30"/>
      <c r="HG35" s="30"/>
      <c r="HH35" s="30">
        <v>1</v>
      </c>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v>1</v>
      </c>
      <c r="IS35" s="30"/>
      <c r="IT35" s="37"/>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v>1</v>
      </c>
      <c r="KH35" s="30"/>
      <c r="KI35" s="30"/>
      <c r="KJ35" s="30"/>
      <c r="KK35" s="30"/>
      <c r="KL35" s="30"/>
      <c r="KM35" s="30"/>
      <c r="KN35" s="30"/>
      <c r="KO35" s="30"/>
      <c r="KP35" s="30"/>
      <c r="KQ35" s="30"/>
      <c r="KR35" s="30"/>
      <c r="KS35" s="30"/>
      <c r="KT35" s="30">
        <v>1</v>
      </c>
      <c r="KU35" s="30"/>
      <c r="KV35" s="30"/>
      <c r="KW35" s="30"/>
      <c r="KX35" s="30"/>
      <c r="KY35" s="30"/>
      <c r="KZ35" s="30">
        <v>1</v>
      </c>
      <c r="LA35" s="30"/>
      <c r="LB35" s="30"/>
      <c r="LC35" s="30"/>
      <c r="LD35" s="30"/>
      <c r="LE35" s="30"/>
      <c r="LF35" s="30"/>
      <c r="LG35" s="30"/>
      <c r="LH35" s="30"/>
      <c r="LI35" s="30"/>
      <c r="LJ35" s="30"/>
      <c r="LK35" s="30"/>
      <c r="LL35" s="30"/>
      <c r="LM35" s="30"/>
      <c r="LN35" s="30"/>
      <c r="LO35" s="30"/>
      <c r="LP35" s="30"/>
      <c r="LQ35" s="30"/>
      <c r="LR35" s="30"/>
      <c r="LS35" s="30"/>
      <c r="LT35" s="30"/>
      <c r="LU35" s="30">
        <v>1</v>
      </c>
      <c r="LV35" s="30"/>
      <c r="LW35" s="30"/>
      <c r="LX35" s="30"/>
      <c r="LY35" s="30"/>
      <c r="LZ35" s="30"/>
      <c r="MA35" s="30"/>
      <c r="MB35" s="30"/>
      <c r="MC35" s="30"/>
      <c r="MD35" s="30"/>
      <c r="ME35" s="30"/>
      <c r="MF35" s="30"/>
      <c r="MG35" s="30"/>
      <c r="MH35" s="30"/>
      <c r="MI35" s="30"/>
      <c r="MJ35" s="30"/>
      <c r="MK35" s="30"/>
      <c r="ML35" s="30"/>
      <c r="MM35" s="30"/>
      <c r="MN35" s="30"/>
      <c r="MO35" s="30"/>
      <c r="MP35" s="30"/>
      <c r="MQ35" s="30"/>
      <c r="MR35" s="30"/>
      <c r="MS35" s="30"/>
      <c r="MT35" s="30"/>
      <c r="MU35" s="30"/>
      <c r="MV35" s="30"/>
      <c r="MW35" s="30"/>
      <c r="MX35" s="30"/>
      <c r="MY35" s="30"/>
      <c r="MZ35" s="30"/>
      <c r="NA35" s="30"/>
      <c r="NB35" s="30"/>
      <c r="NC35" s="30"/>
      <c r="ND35" s="30">
        <v>1</v>
      </c>
      <c r="NE35" s="30"/>
      <c r="NF35" s="30"/>
      <c r="NG35" s="30"/>
      <c r="NH35" s="30"/>
      <c r="NI35" s="30"/>
      <c r="NJ35" s="30"/>
      <c r="NK35" s="30"/>
      <c r="NL35" s="30"/>
      <c r="NM35" s="30"/>
      <c r="NN35" s="30"/>
      <c r="NO35" s="30"/>
      <c r="NP35" s="30"/>
      <c r="NQ35" s="30"/>
      <c r="NR35" s="30"/>
      <c r="NS35" s="30"/>
      <c r="NT35" s="30"/>
      <c r="NU35" s="30"/>
      <c r="NV35" s="30"/>
      <c r="NW35" s="30"/>
      <c r="NX35" s="30"/>
      <c r="NY35" s="30"/>
      <c r="NZ35" s="30"/>
      <c r="OA35" s="30"/>
      <c r="OB35" s="30"/>
      <c r="OC35" s="30"/>
      <c r="OD35" s="30"/>
      <c r="OE35" s="30"/>
      <c r="OF35" s="30"/>
      <c r="OG35" s="42"/>
    </row>
    <row r="36" spans="7:397">
      <c r="H36" s="4" t="s">
        <v>417</v>
      </c>
      <c r="I36" s="5">
        <f t="shared" si="343"/>
        <v>1</v>
      </c>
      <c r="J36" s="5" t="s">
        <v>418</v>
      </c>
      <c r="K36">
        <f t="shared" si="344"/>
        <v>3.9595695177165654E-3</v>
      </c>
      <c r="AC36" s="41"/>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v>1</v>
      </c>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0"/>
      <c r="HS36" s="30"/>
      <c r="HT36" s="30"/>
      <c r="HU36" s="30"/>
      <c r="HV36" s="30"/>
      <c r="HW36" s="30"/>
      <c r="HX36" s="30"/>
      <c r="HY36" s="30"/>
      <c r="HZ36" s="30"/>
      <c r="IA36" s="30"/>
      <c r="IB36" s="30"/>
      <c r="IC36" s="30"/>
      <c r="ID36" s="30"/>
      <c r="IE36" s="30"/>
      <c r="IF36" s="30"/>
      <c r="IG36" s="30"/>
      <c r="IH36" s="30"/>
      <c r="II36" s="30"/>
      <c r="IJ36" s="30"/>
      <c r="IK36" s="30"/>
      <c r="IL36" s="30"/>
      <c r="IM36" s="30"/>
      <c r="IN36" s="30"/>
      <c r="IO36" s="30"/>
      <c r="IP36" s="30"/>
      <c r="IQ36" s="30"/>
      <c r="IR36" s="30"/>
      <c r="IS36" s="30"/>
      <c r="IT36" s="30"/>
      <c r="IU36" s="30"/>
      <c r="IV36" s="30"/>
      <c r="IW36" s="30"/>
      <c r="IX36" s="30"/>
      <c r="IY36" s="30"/>
      <c r="IZ36" s="30"/>
      <c r="JA36" s="30"/>
      <c r="JB36" s="30"/>
      <c r="JC36" s="30"/>
      <c r="JD36" s="30"/>
      <c r="JE36" s="30"/>
      <c r="JF36" s="30"/>
      <c r="JG36" s="30"/>
      <c r="JH36" s="30"/>
      <c r="JI36" s="30"/>
      <c r="JJ36" s="30"/>
      <c r="JK36" s="30"/>
      <c r="JL36" s="30"/>
      <c r="JM36" s="30"/>
      <c r="JN36" s="30"/>
      <c r="JO36" s="30"/>
      <c r="JP36" s="30"/>
      <c r="JQ36" s="30"/>
      <c r="JR36" s="30"/>
      <c r="JS36" s="30"/>
      <c r="JT36" s="30"/>
      <c r="JU36" s="30"/>
      <c r="JV36" s="30"/>
      <c r="JW36" s="30"/>
      <c r="JX36" s="30"/>
      <c r="JY36" s="30"/>
      <c r="JZ36" s="30"/>
      <c r="KA36" s="30"/>
      <c r="KB36" s="30"/>
      <c r="KC36" s="30"/>
      <c r="KD36" s="30"/>
      <c r="KE36" s="30"/>
      <c r="KF36" s="30"/>
      <c r="KG36" s="30"/>
      <c r="KH36" s="30"/>
      <c r="KI36" s="30"/>
      <c r="KJ36" s="30"/>
      <c r="KK36" s="30"/>
      <c r="KL36" s="30"/>
      <c r="KM36" s="30"/>
      <c r="KN36" s="30"/>
      <c r="KO36" s="30"/>
      <c r="KP36" s="30"/>
      <c r="KQ36" s="30"/>
      <c r="KR36" s="30"/>
      <c r="KS36" s="30"/>
      <c r="KT36" s="30"/>
      <c r="KU36" s="30"/>
      <c r="KV36" s="30"/>
      <c r="KW36" s="30"/>
      <c r="KX36" s="30"/>
      <c r="KY36" s="30"/>
      <c r="KZ36" s="30"/>
      <c r="LA36" s="30"/>
      <c r="LB36" s="30"/>
      <c r="LC36" s="30"/>
      <c r="LD36" s="30"/>
      <c r="LE36" s="30"/>
      <c r="LF36" s="30"/>
      <c r="LG36" s="30"/>
      <c r="LH36" s="30"/>
      <c r="LI36" s="30"/>
      <c r="LJ36" s="30"/>
      <c r="LK36" s="30"/>
      <c r="LL36" s="30"/>
      <c r="LM36" s="30"/>
      <c r="LN36" s="30"/>
      <c r="LO36" s="30"/>
      <c r="LP36" s="30"/>
      <c r="LQ36" s="30"/>
      <c r="LR36" s="30"/>
      <c r="LS36" s="30"/>
      <c r="LT36" s="30"/>
      <c r="LU36" s="30"/>
      <c r="LV36" s="30"/>
      <c r="LW36" s="30"/>
      <c r="LX36" s="30"/>
      <c r="LY36" s="30"/>
      <c r="LZ36" s="30"/>
      <c r="MA36" s="30"/>
      <c r="MB36" s="30"/>
      <c r="MC36" s="30"/>
      <c r="MD36" s="30"/>
      <c r="ME36" s="30"/>
      <c r="MF36" s="30"/>
      <c r="MG36" s="30"/>
      <c r="MH36" s="30"/>
      <c r="MI36" s="30"/>
      <c r="MJ36" s="30"/>
      <c r="MK36" s="30"/>
      <c r="ML36" s="30"/>
      <c r="MM36" s="30"/>
      <c r="MN36" s="30"/>
      <c r="MO36" s="30"/>
      <c r="MP36" s="30"/>
      <c r="MQ36" s="30"/>
      <c r="MR36" s="30"/>
      <c r="MS36" s="30"/>
      <c r="MT36" s="30"/>
      <c r="MU36" s="30"/>
      <c r="MV36" s="30"/>
      <c r="MW36" s="30"/>
      <c r="MX36" s="30"/>
      <c r="MY36" s="30"/>
      <c r="MZ36" s="30"/>
      <c r="NA36" s="30"/>
      <c r="NB36" s="30"/>
      <c r="NC36" s="30"/>
      <c r="ND36" s="30"/>
      <c r="NE36" s="30"/>
      <c r="NF36" s="30"/>
      <c r="NG36" s="30"/>
      <c r="NH36" s="30"/>
      <c r="NI36" s="30"/>
      <c r="NJ36" s="30"/>
      <c r="NK36" s="30"/>
      <c r="NL36" s="30"/>
      <c r="NM36" s="30"/>
      <c r="NN36" s="30"/>
      <c r="NO36" s="30"/>
      <c r="NP36" s="30"/>
      <c r="NQ36" s="30"/>
      <c r="NR36" s="30"/>
      <c r="NS36" s="30"/>
      <c r="NT36" s="30"/>
      <c r="NU36" s="30"/>
      <c r="NV36" s="30"/>
      <c r="NW36" s="30"/>
      <c r="NX36" s="30"/>
      <c r="NY36" s="30"/>
      <c r="NZ36" s="30"/>
      <c r="OA36" s="30"/>
      <c r="OB36" s="30"/>
      <c r="OC36" s="30"/>
      <c r="OD36" s="30"/>
      <c r="OE36" s="30"/>
      <c r="OF36" s="30"/>
      <c r="OG36" s="42"/>
    </row>
    <row r="37" spans="7:397">
      <c r="H37" s="5" t="s">
        <v>419</v>
      </c>
      <c r="I37" s="5">
        <f t="shared" si="343"/>
        <v>10</v>
      </c>
      <c r="J37" s="5" t="s">
        <v>420</v>
      </c>
      <c r="K37">
        <f t="shared" si="344"/>
        <v>52.138160003733603</v>
      </c>
      <c r="AC37" s="41"/>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v>1</v>
      </c>
      <c r="GK37" s="30"/>
      <c r="GL37" s="30"/>
      <c r="GM37" s="30"/>
      <c r="GN37" s="30"/>
      <c r="GO37" s="30"/>
      <c r="GP37" s="30"/>
      <c r="GQ37" s="30"/>
      <c r="GR37" s="30">
        <v>1</v>
      </c>
      <c r="GS37" s="30"/>
      <c r="GT37" s="36">
        <v>1</v>
      </c>
      <c r="GU37" s="30"/>
      <c r="GV37" s="30"/>
      <c r="GW37" s="30"/>
      <c r="GX37" s="30"/>
      <c r="GY37" s="30"/>
      <c r="GZ37" s="30"/>
      <c r="HA37" s="30"/>
      <c r="HB37" s="30">
        <v>1</v>
      </c>
      <c r="HC37" s="30"/>
      <c r="HD37" s="30"/>
      <c r="HE37" s="30"/>
      <c r="HF37" s="30"/>
      <c r="HG37" s="30"/>
      <c r="HH37" s="30"/>
      <c r="HI37" s="30"/>
      <c r="HJ37" s="30"/>
      <c r="HK37" s="30"/>
      <c r="HL37" s="30"/>
      <c r="HM37" s="30"/>
      <c r="HN37" s="30"/>
      <c r="HO37" s="30"/>
      <c r="HP37" s="30"/>
      <c r="HQ37" s="30"/>
      <c r="HR37" s="30"/>
      <c r="HS37" s="30"/>
      <c r="HT37" s="30"/>
      <c r="HU37" s="30"/>
      <c r="HV37" s="30"/>
      <c r="HW37" s="30"/>
      <c r="HX37" s="30"/>
      <c r="HY37" s="30"/>
      <c r="HZ37" s="30"/>
      <c r="IA37" s="30"/>
      <c r="IB37" s="30"/>
      <c r="IC37" s="30"/>
      <c r="ID37" s="30"/>
      <c r="IE37" s="30"/>
      <c r="IF37" s="30"/>
      <c r="IG37" s="30">
        <v>1</v>
      </c>
      <c r="IH37" s="30"/>
      <c r="II37" s="30"/>
      <c r="IJ37" s="30"/>
      <c r="IK37" s="30">
        <v>1</v>
      </c>
      <c r="IL37" s="30"/>
      <c r="IM37" s="30">
        <v>1</v>
      </c>
      <c r="IN37" s="30"/>
      <c r="IO37" s="30"/>
      <c r="IP37" s="30"/>
      <c r="IQ37" s="30"/>
      <c r="IR37" s="30">
        <v>1</v>
      </c>
      <c r="IS37" s="30"/>
      <c r="IT37" s="30"/>
      <c r="IU37" s="30"/>
      <c r="IV37" s="30">
        <v>1</v>
      </c>
      <c r="IW37" s="30"/>
      <c r="IX37" s="30">
        <v>1</v>
      </c>
      <c r="IY37" s="30"/>
      <c r="IZ37" s="30"/>
      <c r="JA37" s="30"/>
      <c r="JB37" s="30"/>
      <c r="JC37" s="30"/>
      <c r="JD37" s="30"/>
      <c r="JE37" s="30"/>
      <c r="JF37" s="30"/>
      <c r="JG37" s="30"/>
      <c r="JH37" s="30"/>
      <c r="JI37" s="30"/>
      <c r="JJ37" s="30"/>
      <c r="JK37" s="30"/>
      <c r="JL37" s="30"/>
      <c r="JM37" s="30"/>
      <c r="JN37" s="30"/>
      <c r="JO37" s="30"/>
      <c r="JP37" s="30"/>
      <c r="JQ37" s="30"/>
      <c r="JR37" s="30"/>
      <c r="JS37" s="30"/>
      <c r="JT37" s="30"/>
      <c r="JU37" s="30"/>
      <c r="JV37" s="30"/>
      <c r="JW37" s="30"/>
      <c r="JX37" s="30"/>
      <c r="JY37" s="30"/>
      <c r="JZ37" s="30"/>
      <c r="KA37" s="30"/>
      <c r="KB37" s="30"/>
      <c r="KC37" s="30"/>
      <c r="KD37" s="30"/>
      <c r="KE37" s="30"/>
      <c r="KF37" s="30"/>
      <c r="KG37" s="30"/>
      <c r="KH37" s="30"/>
      <c r="KI37" s="30"/>
      <c r="KJ37" s="30"/>
      <c r="KK37" s="30"/>
      <c r="KL37" s="30"/>
      <c r="KM37" s="30"/>
      <c r="KN37" s="30"/>
      <c r="KO37" s="30"/>
      <c r="KP37" s="30"/>
      <c r="KQ37" s="30"/>
      <c r="KR37" s="30"/>
      <c r="KS37" s="30"/>
      <c r="KT37" s="30"/>
      <c r="KU37" s="30"/>
      <c r="KV37" s="30"/>
      <c r="KW37" s="30"/>
      <c r="KX37" s="30"/>
      <c r="KY37" s="30"/>
      <c r="KZ37" s="30"/>
      <c r="LA37" s="30"/>
      <c r="LB37" s="30"/>
      <c r="LC37" s="30"/>
      <c r="LD37" s="30"/>
      <c r="LE37" s="30"/>
      <c r="LF37" s="30"/>
      <c r="LG37" s="30"/>
      <c r="LH37" s="30"/>
      <c r="LI37" s="30"/>
      <c r="LJ37" s="30"/>
      <c r="LK37" s="30"/>
      <c r="LL37" s="30"/>
      <c r="LM37" s="30"/>
      <c r="LN37" s="30"/>
      <c r="LO37" s="30"/>
      <c r="LP37" s="30"/>
      <c r="LQ37" s="30"/>
      <c r="LR37" s="30"/>
      <c r="LS37" s="30"/>
      <c r="LT37" s="30"/>
      <c r="LU37" s="30"/>
      <c r="LV37" s="30"/>
      <c r="LW37" s="30"/>
      <c r="LX37" s="30"/>
      <c r="LY37" s="30"/>
      <c r="LZ37" s="30"/>
      <c r="MA37" s="30"/>
      <c r="MB37" s="30"/>
      <c r="MC37" s="30"/>
      <c r="MD37" s="30"/>
      <c r="ME37" s="30"/>
      <c r="MF37" s="30"/>
      <c r="MG37" s="30"/>
      <c r="MH37" s="30"/>
      <c r="MI37" s="30"/>
      <c r="MJ37" s="30"/>
      <c r="MK37" s="30"/>
      <c r="ML37" s="30"/>
      <c r="MM37" s="30"/>
      <c r="MN37" s="30"/>
      <c r="MO37" s="30"/>
      <c r="MP37" s="30"/>
      <c r="MQ37" s="30"/>
      <c r="MR37" s="30"/>
      <c r="MS37" s="30"/>
      <c r="MT37" s="30"/>
      <c r="MU37" s="30"/>
      <c r="MV37" s="30"/>
      <c r="MW37" s="30"/>
      <c r="MX37" s="30"/>
      <c r="MY37" s="30"/>
      <c r="MZ37" s="30"/>
      <c r="NA37" s="30"/>
      <c r="NB37" s="30"/>
      <c r="NC37" s="30"/>
      <c r="ND37" s="30"/>
      <c r="NE37" s="30"/>
      <c r="NF37" s="30"/>
      <c r="NG37" s="30"/>
      <c r="NH37" s="30"/>
      <c r="NI37" s="30"/>
      <c r="NJ37" s="30"/>
      <c r="NK37" s="30"/>
      <c r="NL37" s="30"/>
      <c r="NM37" s="30"/>
      <c r="NN37" s="30"/>
      <c r="NO37" s="30"/>
      <c r="NP37" s="30"/>
      <c r="NQ37" s="30"/>
      <c r="NR37" s="30"/>
      <c r="NS37" s="30"/>
      <c r="NT37" s="30"/>
      <c r="NU37" s="30"/>
      <c r="NV37" s="30"/>
      <c r="NW37" s="30"/>
      <c r="NX37" s="30"/>
      <c r="NY37" s="30"/>
      <c r="NZ37" s="30"/>
      <c r="OA37" s="30"/>
      <c r="OB37" s="30"/>
      <c r="OC37" s="30"/>
      <c r="OD37" s="30"/>
      <c r="OE37" s="30"/>
      <c r="OF37" s="30"/>
      <c r="OG37" s="42"/>
    </row>
    <row r="38" spans="7:397">
      <c r="H38" s="5"/>
      <c r="I38" s="5">
        <f t="shared" si="343"/>
        <v>2</v>
      </c>
      <c r="J38" s="5" t="s">
        <v>421</v>
      </c>
      <c r="K38">
        <f t="shared" si="344"/>
        <v>152.48858491236041</v>
      </c>
      <c r="AC38" s="41"/>
      <c r="AD38" s="30">
        <v>1</v>
      </c>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v>1</v>
      </c>
      <c r="DD38" s="30"/>
      <c r="DE38" s="30"/>
      <c r="DF38" s="30"/>
      <c r="DG38" s="30"/>
      <c r="DH38" s="30"/>
      <c r="DI38" s="30"/>
      <c r="DJ38" s="30"/>
      <c r="DK38" s="30"/>
      <c r="DL38" s="30"/>
      <c r="DM38" s="30"/>
      <c r="DN38" s="30"/>
      <c r="DO38" s="30"/>
      <c r="DP38" s="30"/>
      <c r="DQ38" s="30"/>
      <c r="DR38" s="30"/>
      <c r="DS38" s="30"/>
      <c r="DT38" s="30"/>
      <c r="DU38" s="30"/>
      <c r="DV38" s="30"/>
      <c r="DW38" s="30"/>
      <c r="DX38" s="30"/>
      <c r="DY38" s="30"/>
      <c r="DZ38" s="30"/>
      <c r="EA38" s="30"/>
      <c r="EB38" s="30"/>
      <c r="EC38" s="30"/>
      <c r="ED38" s="30"/>
      <c r="EE38" s="30"/>
      <c r="EF38" s="30"/>
      <c r="EG38" s="30"/>
      <c r="EH38" s="30"/>
      <c r="EI38" s="30"/>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30"/>
      <c r="GL38" s="30"/>
      <c r="GM38" s="30"/>
      <c r="GN38" s="30"/>
      <c r="GO38" s="30"/>
      <c r="GP38" s="30"/>
      <c r="GQ38" s="30"/>
      <c r="GR38" s="30"/>
      <c r="GS38" s="30"/>
      <c r="GT38" s="30"/>
      <c r="GU38" s="30"/>
      <c r="GV38" s="30"/>
      <c r="GW38" s="30"/>
      <c r="GX38" s="30"/>
      <c r="GY38" s="30"/>
      <c r="GZ38" s="30"/>
      <c r="HA38" s="30"/>
      <c r="HB38" s="30"/>
      <c r="HC38" s="30"/>
      <c r="HD38" s="30"/>
      <c r="HE38" s="30"/>
      <c r="HF38" s="30"/>
      <c r="HG38" s="30"/>
      <c r="HH38" s="30"/>
      <c r="HI38" s="30"/>
      <c r="HJ38" s="30"/>
      <c r="HK38" s="30"/>
      <c r="HL38" s="30"/>
      <c r="HM38" s="30"/>
      <c r="HN38" s="30"/>
      <c r="HO38" s="30"/>
      <c r="HP38" s="30"/>
      <c r="HQ38" s="30"/>
      <c r="HR38" s="30"/>
      <c r="HS38" s="30"/>
      <c r="HT38" s="30"/>
      <c r="HU38" s="30"/>
      <c r="HV38" s="30"/>
      <c r="HW38" s="30"/>
      <c r="HX38" s="30"/>
      <c r="HY38" s="30"/>
      <c r="HZ38" s="30"/>
      <c r="IA38" s="30"/>
      <c r="IB38" s="30"/>
      <c r="IC38" s="30"/>
      <c r="ID38" s="30"/>
      <c r="IE38" s="30"/>
      <c r="IF38" s="30"/>
      <c r="IG38" s="30"/>
      <c r="IH38" s="30"/>
      <c r="II38" s="30"/>
      <c r="IJ38" s="30"/>
      <c r="IK38" s="30"/>
      <c r="IL38" s="30"/>
      <c r="IM38" s="30"/>
      <c r="IN38" s="30"/>
      <c r="IO38" s="30"/>
      <c r="IP38" s="30"/>
      <c r="IQ38" s="30"/>
      <c r="IR38" s="30"/>
      <c r="IS38" s="30"/>
      <c r="IT38" s="30"/>
      <c r="IU38" s="30"/>
      <c r="IV38" s="30"/>
      <c r="IW38" s="30"/>
      <c r="IX38" s="30"/>
      <c r="IY38" s="30"/>
      <c r="IZ38" s="30"/>
      <c r="JA38" s="30"/>
      <c r="JB38" s="30"/>
      <c r="JC38" s="30"/>
      <c r="JD38" s="30"/>
      <c r="JE38" s="30"/>
      <c r="JF38" s="30"/>
      <c r="JG38" s="30"/>
      <c r="JH38" s="30"/>
      <c r="JI38" s="30"/>
      <c r="JJ38" s="30"/>
      <c r="JK38" s="30"/>
      <c r="JL38" s="30"/>
      <c r="JM38" s="30"/>
      <c r="JN38" s="30"/>
      <c r="JO38" s="30"/>
      <c r="JP38" s="30"/>
      <c r="JQ38" s="30"/>
      <c r="JR38" s="30"/>
      <c r="JS38" s="30"/>
      <c r="JT38" s="30"/>
      <c r="JU38" s="30"/>
      <c r="JV38" s="30"/>
      <c r="JW38" s="30"/>
      <c r="JX38" s="30"/>
      <c r="JY38" s="30"/>
      <c r="JZ38" s="30"/>
      <c r="KA38" s="30"/>
      <c r="KB38" s="30"/>
      <c r="KC38" s="30"/>
      <c r="KD38" s="30"/>
      <c r="KE38" s="30"/>
      <c r="KF38" s="30"/>
      <c r="KG38" s="30"/>
      <c r="KH38" s="30"/>
      <c r="KI38" s="30"/>
      <c r="KJ38" s="30"/>
      <c r="KK38" s="30"/>
      <c r="KL38" s="30"/>
      <c r="KM38" s="30"/>
      <c r="KN38" s="30"/>
      <c r="KO38" s="30"/>
      <c r="KP38" s="30"/>
      <c r="KQ38" s="30"/>
      <c r="KR38" s="30"/>
      <c r="KS38" s="30"/>
      <c r="KT38" s="30"/>
      <c r="KU38" s="30"/>
      <c r="KV38" s="30"/>
      <c r="KW38" s="30"/>
      <c r="KX38" s="30"/>
      <c r="KY38" s="30"/>
      <c r="KZ38" s="30"/>
      <c r="LA38" s="30"/>
      <c r="LB38" s="30"/>
      <c r="LC38" s="30"/>
      <c r="LD38" s="30"/>
      <c r="LE38" s="30"/>
      <c r="LF38" s="30"/>
      <c r="LG38" s="30"/>
      <c r="LH38" s="30"/>
      <c r="LI38" s="30"/>
      <c r="LJ38" s="30"/>
      <c r="LK38" s="30"/>
      <c r="LL38" s="30"/>
      <c r="LM38" s="30"/>
      <c r="LN38" s="30"/>
      <c r="LO38" s="30"/>
      <c r="LP38" s="30"/>
      <c r="LQ38" s="30"/>
      <c r="LR38" s="30"/>
      <c r="LS38" s="30"/>
      <c r="LT38" s="30"/>
      <c r="LU38" s="30"/>
      <c r="LV38" s="30"/>
      <c r="LW38" s="30"/>
      <c r="LX38" s="30"/>
      <c r="LY38" s="30"/>
      <c r="LZ38" s="30"/>
      <c r="MA38" s="30"/>
      <c r="MB38" s="30"/>
      <c r="MC38" s="30"/>
      <c r="MD38" s="30"/>
      <c r="ME38" s="30"/>
      <c r="MF38" s="30"/>
      <c r="MG38" s="30"/>
      <c r="MH38" s="30"/>
      <c r="MI38" s="30"/>
      <c r="MJ38" s="30"/>
      <c r="MK38" s="30"/>
      <c r="ML38" s="30"/>
      <c r="MM38" s="30"/>
      <c r="MN38" s="30"/>
      <c r="MO38" s="30"/>
      <c r="MP38" s="30"/>
      <c r="MQ38" s="30"/>
      <c r="MR38" s="30"/>
      <c r="MS38" s="30"/>
      <c r="MT38" s="30"/>
      <c r="MU38" s="30"/>
      <c r="MV38" s="30"/>
      <c r="MW38" s="30"/>
      <c r="MX38" s="30"/>
      <c r="MY38" s="30"/>
      <c r="MZ38" s="30"/>
      <c r="NA38" s="30"/>
      <c r="NB38" s="30"/>
      <c r="NC38" s="30"/>
      <c r="ND38" s="30"/>
      <c r="NE38" s="30"/>
      <c r="NF38" s="30"/>
      <c r="NG38" s="30"/>
      <c r="NH38" s="30"/>
      <c r="NI38" s="30"/>
      <c r="NJ38" s="30"/>
      <c r="NK38" s="30"/>
      <c r="NL38" s="30"/>
      <c r="NM38" s="30"/>
      <c r="NN38" s="30"/>
      <c r="NO38" s="30"/>
      <c r="NP38" s="30"/>
      <c r="NQ38" s="30"/>
      <c r="NR38" s="30"/>
      <c r="NS38" s="30"/>
      <c r="NT38" s="30"/>
      <c r="NU38" s="30"/>
      <c r="NV38" s="30"/>
      <c r="NW38" s="30"/>
      <c r="NX38" s="30"/>
      <c r="NY38" s="30"/>
      <c r="NZ38" s="30"/>
      <c r="OA38" s="30"/>
      <c r="OB38" s="30"/>
      <c r="OC38" s="30"/>
      <c r="OD38" s="30"/>
      <c r="OE38" s="30"/>
      <c r="OF38" s="30"/>
      <c r="OG38" s="42"/>
    </row>
    <row r="39" spans="7:397">
      <c r="H39" s="5" t="s">
        <v>422</v>
      </c>
      <c r="I39" s="5">
        <f t="shared" si="343"/>
        <v>1</v>
      </c>
      <c r="J39" s="5" t="s">
        <v>423</v>
      </c>
      <c r="K39">
        <f t="shared" si="344"/>
        <v>114.4163883684574</v>
      </c>
      <c r="AC39" s="41"/>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c r="DA39" s="30"/>
      <c r="DB39" s="30"/>
      <c r="DC39" s="30"/>
      <c r="DD39" s="30"/>
      <c r="DE39" s="30"/>
      <c r="DF39" s="30"/>
      <c r="DG39" s="30"/>
      <c r="DH39" s="30"/>
      <c r="DI39" s="30"/>
      <c r="DJ39" s="30"/>
      <c r="DK39" s="30"/>
      <c r="DL39" s="30"/>
      <c r="DM39" s="30"/>
      <c r="DN39" s="30"/>
      <c r="DO39" s="30"/>
      <c r="DP39" s="30"/>
      <c r="DQ39" s="30"/>
      <c r="DR39" s="30"/>
      <c r="DS39" s="30">
        <v>1</v>
      </c>
      <c r="DT39" s="30"/>
      <c r="DU39" s="30"/>
      <c r="DV39" s="30"/>
      <c r="DW39" s="30"/>
      <c r="DX39" s="30"/>
      <c r="DY39" s="30"/>
      <c r="DZ39" s="30"/>
      <c r="EA39" s="30"/>
      <c r="EB39" s="30"/>
      <c r="EC39" s="30"/>
      <c r="ED39" s="30"/>
      <c r="EE39" s="30"/>
      <c r="EF39" s="30"/>
      <c r="EG39" s="30"/>
      <c r="EH39" s="30"/>
      <c r="EI39" s="30"/>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30"/>
      <c r="GL39" s="30"/>
      <c r="GM39" s="30"/>
      <c r="GN39" s="30"/>
      <c r="GO39" s="30"/>
      <c r="GP39" s="30"/>
      <c r="GQ39" s="30"/>
      <c r="GR39" s="30"/>
      <c r="GS39" s="30"/>
      <c r="GT39" s="30"/>
      <c r="GU39" s="30"/>
      <c r="GV39" s="30"/>
      <c r="GW39" s="30"/>
      <c r="GX39" s="30"/>
      <c r="GY39" s="30"/>
      <c r="GZ39" s="30"/>
      <c r="HA39" s="30"/>
      <c r="HB39" s="30"/>
      <c r="HC39" s="30"/>
      <c r="HD39" s="30"/>
      <c r="HE39" s="30"/>
      <c r="HF39" s="30"/>
      <c r="HG39" s="30"/>
      <c r="HH39" s="30"/>
      <c r="HI39" s="30"/>
      <c r="HJ39" s="30"/>
      <c r="HK39" s="30"/>
      <c r="HL39" s="30"/>
      <c r="HM39" s="30"/>
      <c r="HN39" s="30"/>
      <c r="HO39" s="30"/>
      <c r="HP39" s="30"/>
      <c r="HQ39" s="30"/>
      <c r="HR39" s="30"/>
      <c r="HS39" s="30"/>
      <c r="HT39" s="30"/>
      <c r="HU39" s="30"/>
      <c r="HV39" s="30"/>
      <c r="HW39" s="30"/>
      <c r="HX39" s="30"/>
      <c r="HY39" s="30"/>
      <c r="HZ39" s="30"/>
      <c r="IA39" s="30"/>
      <c r="IB39" s="30"/>
      <c r="IC39" s="30"/>
      <c r="ID39" s="30"/>
      <c r="IE39" s="30"/>
      <c r="IF39" s="30"/>
      <c r="IG39" s="30"/>
      <c r="IH39" s="30"/>
      <c r="II39" s="30"/>
      <c r="IJ39" s="30"/>
      <c r="IK39" s="30"/>
      <c r="IL39" s="30"/>
      <c r="IM39" s="30"/>
      <c r="IN39" s="30"/>
      <c r="IO39" s="30"/>
      <c r="IP39" s="30"/>
      <c r="IQ39" s="30"/>
      <c r="IR39" s="30"/>
      <c r="IS39" s="30"/>
      <c r="IT39" s="30"/>
      <c r="IU39" s="30"/>
      <c r="IV39" s="30"/>
      <c r="IW39" s="30"/>
      <c r="IX39" s="30"/>
      <c r="IY39" s="30"/>
      <c r="IZ39" s="30"/>
      <c r="JA39" s="30"/>
      <c r="JB39" s="30"/>
      <c r="JC39" s="30"/>
      <c r="JD39" s="30"/>
      <c r="JE39" s="30"/>
      <c r="JF39" s="30"/>
      <c r="JG39" s="30"/>
      <c r="JH39" s="30"/>
      <c r="JI39" s="30"/>
      <c r="JJ39" s="30"/>
      <c r="JK39" s="30"/>
      <c r="JL39" s="30"/>
      <c r="JM39" s="30"/>
      <c r="JN39" s="30"/>
      <c r="JO39" s="30"/>
      <c r="JP39" s="30"/>
      <c r="JQ39" s="30"/>
      <c r="JR39" s="30"/>
      <c r="JS39" s="30"/>
      <c r="JT39" s="30"/>
      <c r="JU39" s="30"/>
      <c r="JV39" s="30"/>
      <c r="JW39" s="30"/>
      <c r="JX39" s="30"/>
      <c r="JY39" s="30"/>
      <c r="JZ39" s="30"/>
      <c r="KA39" s="30"/>
      <c r="KB39" s="30"/>
      <c r="KC39" s="30"/>
      <c r="KD39" s="30"/>
      <c r="KE39" s="30"/>
      <c r="KF39" s="30"/>
      <c r="KG39" s="30"/>
      <c r="KH39" s="30"/>
      <c r="KI39" s="30"/>
      <c r="KJ39" s="30"/>
      <c r="KK39" s="30"/>
      <c r="KL39" s="30"/>
      <c r="KM39" s="30"/>
      <c r="KN39" s="30"/>
      <c r="KO39" s="30"/>
      <c r="KP39" s="30"/>
      <c r="KQ39" s="30"/>
      <c r="KR39" s="30"/>
      <c r="KS39" s="30"/>
      <c r="KT39" s="30"/>
      <c r="KU39" s="30"/>
      <c r="KV39" s="30"/>
      <c r="KW39" s="30"/>
      <c r="KX39" s="30"/>
      <c r="KY39" s="30"/>
      <c r="KZ39" s="30"/>
      <c r="LA39" s="30"/>
      <c r="LB39" s="30"/>
      <c r="LC39" s="30"/>
      <c r="LD39" s="30"/>
      <c r="LE39" s="30"/>
      <c r="LF39" s="30"/>
      <c r="LG39" s="30"/>
      <c r="LH39" s="30"/>
      <c r="LI39" s="30"/>
      <c r="LJ39" s="30"/>
      <c r="LK39" s="30"/>
      <c r="LL39" s="30"/>
      <c r="LM39" s="30"/>
      <c r="LN39" s="30"/>
      <c r="LO39" s="30"/>
      <c r="LP39" s="30"/>
      <c r="LQ39" s="30"/>
      <c r="LR39" s="30"/>
      <c r="LS39" s="30"/>
      <c r="LT39" s="30"/>
      <c r="LU39" s="30"/>
      <c r="LV39" s="30"/>
      <c r="LW39" s="30"/>
      <c r="LX39" s="30"/>
      <c r="LY39" s="30"/>
      <c r="LZ39" s="30"/>
      <c r="MA39" s="30"/>
      <c r="MB39" s="30"/>
      <c r="MC39" s="30"/>
      <c r="MD39" s="30"/>
      <c r="ME39" s="30"/>
      <c r="MF39" s="30"/>
      <c r="MG39" s="30"/>
      <c r="MH39" s="30"/>
      <c r="MI39" s="30"/>
      <c r="MJ39" s="30"/>
      <c r="MK39" s="30"/>
      <c r="ML39" s="30"/>
      <c r="MM39" s="30"/>
      <c r="MN39" s="30"/>
      <c r="MO39" s="30"/>
      <c r="MP39" s="30"/>
      <c r="MQ39" s="30"/>
      <c r="MR39" s="30"/>
      <c r="MS39" s="30"/>
      <c r="MT39" s="30"/>
      <c r="MU39" s="30"/>
      <c r="MV39" s="30"/>
      <c r="MW39" s="30"/>
      <c r="MX39" s="30"/>
      <c r="MY39" s="30"/>
      <c r="MZ39" s="30"/>
      <c r="NA39" s="30"/>
      <c r="NB39" s="30"/>
      <c r="NC39" s="30"/>
      <c r="ND39" s="30"/>
      <c r="NE39" s="30"/>
      <c r="NF39" s="30"/>
      <c r="NG39" s="30"/>
      <c r="NH39" s="30"/>
      <c r="NI39" s="30"/>
      <c r="NJ39" s="30"/>
      <c r="NK39" s="30"/>
      <c r="NL39" s="30"/>
      <c r="NM39" s="30"/>
      <c r="NN39" s="30"/>
      <c r="NO39" s="30"/>
      <c r="NP39" s="30"/>
      <c r="NQ39" s="30"/>
      <c r="NR39" s="30"/>
      <c r="NS39" s="30"/>
      <c r="NT39" s="30"/>
      <c r="NU39" s="30"/>
      <c r="NV39" s="30"/>
      <c r="NW39" s="30"/>
      <c r="NX39" s="30"/>
      <c r="NY39" s="30"/>
      <c r="NZ39" s="30"/>
      <c r="OA39" s="30"/>
      <c r="OB39" s="30"/>
      <c r="OC39" s="30"/>
      <c r="OD39" s="30"/>
      <c r="OE39" s="30"/>
      <c r="OF39" s="30"/>
      <c r="OG39" s="42"/>
    </row>
    <row r="40" spans="7:397">
      <c r="H40" s="5" t="s">
        <v>424</v>
      </c>
      <c r="I40" s="5">
        <f t="shared" si="343"/>
        <v>2</v>
      </c>
      <c r="J40" s="5" t="s">
        <v>425</v>
      </c>
      <c r="K40">
        <f t="shared" si="344"/>
        <v>3.4969939859318391</v>
      </c>
      <c r="AC40" s="41"/>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v>1</v>
      </c>
      <c r="EZ40" s="30"/>
      <c r="FA40" s="30">
        <v>1</v>
      </c>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0"/>
      <c r="HS40" s="30"/>
      <c r="HT40" s="30"/>
      <c r="HU40" s="30"/>
      <c r="HV40" s="30"/>
      <c r="HW40" s="30"/>
      <c r="HX40" s="30"/>
      <c r="HY40" s="30"/>
      <c r="HZ40" s="30"/>
      <c r="IA40" s="30"/>
      <c r="IB40" s="30"/>
      <c r="IC40" s="30"/>
      <c r="ID40" s="30"/>
      <c r="IE40" s="30"/>
      <c r="IF40" s="30"/>
      <c r="IG40" s="30"/>
      <c r="IH40" s="30"/>
      <c r="II40" s="30"/>
      <c r="IJ40" s="30"/>
      <c r="IK40" s="30"/>
      <c r="IL40" s="30"/>
      <c r="IM40" s="30"/>
      <c r="IN40" s="30"/>
      <c r="IO40" s="30"/>
      <c r="IP40" s="30"/>
      <c r="IQ40" s="30"/>
      <c r="IR40" s="30"/>
      <c r="IS40" s="30"/>
      <c r="IT40" s="30"/>
      <c r="IU40" s="30"/>
      <c r="IV40" s="30"/>
      <c r="IW40" s="30"/>
      <c r="IX40" s="30"/>
      <c r="IY40" s="30"/>
      <c r="IZ40" s="30"/>
      <c r="JA40" s="30"/>
      <c r="JB40" s="30"/>
      <c r="JC40" s="30"/>
      <c r="JD40" s="30"/>
      <c r="JE40" s="30"/>
      <c r="JF40" s="30"/>
      <c r="JG40" s="30"/>
      <c r="JH40" s="30"/>
      <c r="JI40" s="30"/>
      <c r="JJ40" s="30"/>
      <c r="JK40" s="30"/>
      <c r="JL40" s="30"/>
      <c r="JM40" s="30"/>
      <c r="JN40" s="30"/>
      <c r="JO40" s="30"/>
      <c r="JP40" s="30"/>
      <c r="JQ40" s="30"/>
      <c r="JR40" s="30"/>
      <c r="JS40" s="30"/>
      <c r="JT40" s="30"/>
      <c r="JU40" s="30"/>
      <c r="JV40" s="30"/>
      <c r="JW40" s="30"/>
      <c r="JX40" s="30"/>
      <c r="JY40" s="30"/>
      <c r="JZ40" s="30"/>
      <c r="KA40" s="30"/>
      <c r="KB40" s="30"/>
      <c r="KC40" s="30"/>
      <c r="KD40" s="30"/>
      <c r="KE40" s="30"/>
      <c r="KF40" s="30"/>
      <c r="KG40" s="30"/>
      <c r="KH40" s="30"/>
      <c r="KI40" s="30"/>
      <c r="KJ40" s="30"/>
      <c r="KK40" s="30"/>
      <c r="KL40" s="30"/>
      <c r="KM40" s="30"/>
      <c r="KN40" s="30"/>
      <c r="KO40" s="30"/>
      <c r="KP40" s="30"/>
      <c r="KQ40" s="30"/>
      <c r="KR40" s="30"/>
      <c r="KS40" s="30"/>
      <c r="KT40" s="30"/>
      <c r="KU40" s="30"/>
      <c r="KV40" s="30"/>
      <c r="KW40" s="30"/>
      <c r="KX40" s="30"/>
      <c r="KY40" s="30"/>
      <c r="KZ40" s="30"/>
      <c r="LA40" s="30"/>
      <c r="LB40" s="30"/>
      <c r="LC40" s="30"/>
      <c r="LD40" s="30"/>
      <c r="LE40" s="30"/>
      <c r="LF40" s="30"/>
      <c r="LG40" s="30"/>
      <c r="LH40" s="30"/>
      <c r="LI40" s="30"/>
      <c r="LJ40" s="30"/>
      <c r="LK40" s="30"/>
      <c r="LL40" s="30"/>
      <c r="LM40" s="30"/>
      <c r="LN40" s="30"/>
      <c r="LO40" s="30"/>
      <c r="LP40" s="30"/>
      <c r="LQ40" s="30"/>
      <c r="LR40" s="30"/>
      <c r="LS40" s="30"/>
      <c r="LT40" s="30"/>
      <c r="LU40" s="30"/>
      <c r="LV40" s="30"/>
      <c r="LW40" s="30"/>
      <c r="LX40" s="30"/>
      <c r="LY40" s="30"/>
      <c r="LZ40" s="30"/>
      <c r="MA40" s="30"/>
      <c r="MB40" s="30"/>
      <c r="MC40" s="30"/>
      <c r="MD40" s="30"/>
      <c r="ME40" s="30"/>
      <c r="MF40" s="30"/>
      <c r="MG40" s="30"/>
      <c r="MH40" s="30"/>
      <c r="MI40" s="30"/>
      <c r="MJ40" s="30"/>
      <c r="MK40" s="30"/>
      <c r="ML40" s="30"/>
      <c r="MM40" s="30"/>
      <c r="MN40" s="30"/>
      <c r="MO40" s="30"/>
      <c r="MP40" s="30"/>
      <c r="MQ40" s="30"/>
      <c r="MR40" s="30"/>
      <c r="MS40" s="30"/>
      <c r="MT40" s="30"/>
      <c r="MU40" s="30"/>
      <c r="MV40" s="30"/>
      <c r="MW40" s="30"/>
      <c r="MX40" s="30"/>
      <c r="MY40" s="30"/>
      <c r="MZ40" s="30"/>
      <c r="NA40" s="30"/>
      <c r="NB40" s="30"/>
      <c r="NC40" s="30"/>
      <c r="ND40" s="30"/>
      <c r="NE40" s="30"/>
      <c r="NF40" s="30"/>
      <c r="NG40" s="30"/>
      <c r="NH40" s="30"/>
      <c r="NI40" s="30"/>
      <c r="NJ40" s="30"/>
      <c r="NK40" s="30"/>
      <c r="NL40" s="30"/>
      <c r="NM40" s="30"/>
      <c r="NN40" s="30"/>
      <c r="NO40" s="30"/>
      <c r="NP40" s="30"/>
      <c r="NQ40" s="30"/>
      <c r="NR40" s="30"/>
      <c r="NS40" s="30"/>
      <c r="NT40" s="30"/>
      <c r="NU40" s="30"/>
      <c r="NV40" s="30"/>
      <c r="NW40" s="30"/>
      <c r="NX40" s="30"/>
      <c r="NY40" s="30"/>
      <c r="NZ40" s="30"/>
      <c r="OA40" s="30"/>
      <c r="OB40" s="30"/>
      <c r="OC40" s="30"/>
      <c r="OD40" s="30"/>
      <c r="OE40" s="30"/>
      <c r="OF40" s="30"/>
      <c r="OG40" s="42"/>
    </row>
    <row r="41" spans="7:397">
      <c r="H41" s="5" t="s">
        <v>426</v>
      </c>
      <c r="I41" s="5">
        <f t="shared" si="343"/>
        <v>1</v>
      </c>
      <c r="J41" s="5" t="s">
        <v>427</v>
      </c>
      <c r="K41">
        <f t="shared" si="344"/>
        <v>50.013922060485498</v>
      </c>
      <c r="AC41" s="41"/>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0"/>
      <c r="HS41" s="30"/>
      <c r="HT41" s="30"/>
      <c r="HU41" s="30"/>
      <c r="HV41" s="30"/>
      <c r="HW41" s="30"/>
      <c r="HX41" s="30"/>
      <c r="HY41" s="30"/>
      <c r="HZ41" s="30"/>
      <c r="IA41" s="30"/>
      <c r="IB41" s="30"/>
      <c r="IC41" s="30"/>
      <c r="ID41" s="30"/>
      <c r="IE41" s="30"/>
      <c r="IF41" s="30"/>
      <c r="IG41" s="30"/>
      <c r="IH41" s="30"/>
      <c r="II41" s="30"/>
      <c r="IJ41" s="30"/>
      <c r="IK41" s="30"/>
      <c r="IL41" s="30"/>
      <c r="IM41" s="30"/>
      <c r="IN41" s="30"/>
      <c r="IO41" s="30"/>
      <c r="IP41" s="30"/>
      <c r="IQ41" s="30"/>
      <c r="IR41" s="30"/>
      <c r="IS41" s="30"/>
      <c r="IT41" s="30"/>
      <c r="IU41" s="30"/>
      <c r="IV41" s="30"/>
      <c r="IW41" s="30"/>
      <c r="IX41" s="30"/>
      <c r="IY41" s="30"/>
      <c r="IZ41" s="30">
        <v>1</v>
      </c>
      <c r="JA41" s="30"/>
      <c r="JB41" s="30"/>
      <c r="JC41" s="30"/>
      <c r="JD41" s="30"/>
      <c r="JE41" s="30"/>
      <c r="JF41" s="30"/>
      <c r="JG41" s="30"/>
      <c r="JH41" s="30"/>
      <c r="JI41" s="30"/>
      <c r="JJ41" s="30"/>
      <c r="JK41" s="30"/>
      <c r="JL41" s="30"/>
      <c r="JM41" s="30"/>
      <c r="JN41" s="30"/>
      <c r="JO41" s="30"/>
      <c r="JP41" s="30"/>
      <c r="JQ41" s="30"/>
      <c r="JR41" s="30"/>
      <c r="JS41" s="30"/>
      <c r="JT41" s="30"/>
      <c r="JU41" s="30"/>
      <c r="JV41" s="30"/>
      <c r="JW41" s="30"/>
      <c r="JX41" s="30"/>
      <c r="JY41" s="30"/>
      <c r="JZ41" s="30"/>
      <c r="KA41" s="30"/>
      <c r="KB41" s="30"/>
      <c r="KC41" s="30"/>
      <c r="KD41" s="30"/>
      <c r="KE41" s="30"/>
      <c r="KF41" s="30"/>
      <c r="KG41" s="30"/>
      <c r="KH41" s="30"/>
      <c r="KI41" s="30"/>
      <c r="KJ41" s="30"/>
      <c r="KK41" s="30"/>
      <c r="KL41" s="30"/>
      <c r="KM41" s="30"/>
      <c r="KN41" s="30"/>
      <c r="KO41" s="30"/>
      <c r="KP41" s="30"/>
      <c r="KQ41" s="30"/>
      <c r="KR41" s="30"/>
      <c r="KS41" s="30"/>
      <c r="KT41" s="30"/>
      <c r="KU41" s="30"/>
      <c r="KV41" s="30"/>
      <c r="KW41" s="30"/>
      <c r="KX41" s="30"/>
      <c r="KY41" s="30"/>
      <c r="KZ41" s="30"/>
      <c r="LA41" s="30"/>
      <c r="LB41" s="30"/>
      <c r="LC41" s="30"/>
      <c r="LD41" s="30"/>
      <c r="LE41" s="30"/>
      <c r="LF41" s="30"/>
      <c r="LG41" s="30"/>
      <c r="LH41" s="30"/>
      <c r="LI41" s="30"/>
      <c r="LJ41" s="30"/>
      <c r="LK41" s="30"/>
      <c r="LL41" s="30"/>
      <c r="LM41" s="30"/>
      <c r="LN41" s="30"/>
      <c r="LO41" s="30"/>
      <c r="LP41" s="30"/>
      <c r="LQ41" s="30"/>
      <c r="LR41" s="30"/>
      <c r="LS41" s="30"/>
      <c r="LT41" s="30"/>
      <c r="LU41" s="30"/>
      <c r="LV41" s="30"/>
      <c r="LW41" s="30"/>
      <c r="LX41" s="30"/>
      <c r="LY41" s="30"/>
      <c r="LZ41" s="30"/>
      <c r="MA41" s="30"/>
      <c r="MB41" s="30"/>
      <c r="MC41" s="30"/>
      <c r="MD41" s="30"/>
      <c r="ME41" s="30"/>
      <c r="MF41" s="30"/>
      <c r="MG41" s="30"/>
      <c r="MH41" s="30"/>
      <c r="MI41" s="30"/>
      <c r="MJ41" s="30"/>
      <c r="MK41" s="30"/>
      <c r="ML41" s="30"/>
      <c r="MM41" s="30"/>
      <c r="MN41" s="30"/>
      <c r="MO41" s="30"/>
      <c r="MP41" s="30"/>
      <c r="MQ41" s="30"/>
      <c r="MR41" s="30"/>
      <c r="MS41" s="30"/>
      <c r="MT41" s="30"/>
      <c r="MU41" s="30"/>
      <c r="MV41" s="30"/>
      <c r="MW41" s="30"/>
      <c r="MX41" s="30"/>
      <c r="MY41" s="30"/>
      <c r="MZ41" s="30"/>
      <c r="NA41" s="30"/>
      <c r="NB41" s="30"/>
      <c r="NC41" s="30"/>
      <c r="ND41" s="30"/>
      <c r="NE41" s="30"/>
      <c r="NF41" s="30"/>
      <c r="NG41" s="30"/>
      <c r="NH41" s="30"/>
      <c r="NI41" s="30"/>
      <c r="NJ41" s="30"/>
      <c r="NK41" s="30"/>
      <c r="NL41" s="30"/>
      <c r="NM41" s="30"/>
      <c r="NN41" s="30"/>
      <c r="NO41" s="30"/>
      <c r="NP41" s="30"/>
      <c r="NQ41" s="30"/>
      <c r="NR41" s="30"/>
      <c r="NS41" s="30"/>
      <c r="NT41" s="30"/>
      <c r="NU41" s="30"/>
      <c r="NV41" s="30"/>
      <c r="NW41" s="30"/>
      <c r="NX41" s="30"/>
      <c r="NY41" s="30"/>
      <c r="NZ41" s="30"/>
      <c r="OA41" s="30"/>
      <c r="OB41" s="30"/>
      <c r="OC41" s="30"/>
      <c r="OD41" s="30"/>
      <c r="OE41" s="30"/>
      <c r="OF41" s="30"/>
      <c r="OG41" s="42"/>
    </row>
    <row r="42" spans="7:397">
      <c r="H42" s="5" t="s">
        <v>428</v>
      </c>
      <c r="I42" s="5">
        <f t="shared" si="343"/>
        <v>1</v>
      </c>
      <c r="J42" s="5" t="s">
        <v>429</v>
      </c>
      <c r="K42">
        <f t="shared" si="344"/>
        <v>10.760635888737159</v>
      </c>
      <c r="AC42" s="41"/>
      <c r="AD42" s="30"/>
      <c r="AE42" s="30">
        <v>1</v>
      </c>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0"/>
      <c r="HO42" s="30"/>
      <c r="HP42" s="30"/>
      <c r="HQ42" s="30"/>
      <c r="HR42" s="30"/>
      <c r="HS42" s="30"/>
      <c r="HT42" s="30"/>
      <c r="HU42" s="30"/>
      <c r="HV42" s="30"/>
      <c r="HW42" s="30"/>
      <c r="HX42" s="30"/>
      <c r="HY42" s="30"/>
      <c r="HZ42" s="30"/>
      <c r="IA42" s="30"/>
      <c r="IB42" s="30"/>
      <c r="IC42" s="30"/>
      <c r="ID42" s="30"/>
      <c r="IE42" s="30"/>
      <c r="IF42" s="30"/>
      <c r="IG42" s="30"/>
      <c r="IH42" s="30"/>
      <c r="II42" s="30"/>
      <c r="IJ42" s="30"/>
      <c r="IK42" s="30"/>
      <c r="IL42" s="30"/>
      <c r="IM42" s="30"/>
      <c r="IN42" s="30"/>
      <c r="IO42" s="30"/>
      <c r="IP42" s="30"/>
      <c r="IQ42" s="30"/>
      <c r="IR42" s="30"/>
      <c r="IS42" s="30"/>
      <c r="IT42" s="30"/>
      <c r="IU42" s="30"/>
      <c r="IV42" s="30"/>
      <c r="IW42" s="30"/>
      <c r="IX42" s="30"/>
      <c r="IY42" s="30"/>
      <c r="IZ42" s="30"/>
      <c r="JA42" s="30"/>
      <c r="JB42" s="30"/>
      <c r="JC42" s="30"/>
      <c r="JD42" s="30"/>
      <c r="JE42" s="30"/>
      <c r="JF42" s="30"/>
      <c r="JG42" s="30"/>
      <c r="JH42" s="30"/>
      <c r="JI42" s="30"/>
      <c r="JJ42" s="30"/>
      <c r="JK42" s="30"/>
      <c r="JL42" s="30"/>
      <c r="JM42" s="30"/>
      <c r="JN42" s="30"/>
      <c r="JO42" s="30"/>
      <c r="JP42" s="30"/>
      <c r="JQ42" s="30"/>
      <c r="JR42" s="30"/>
      <c r="JS42" s="30"/>
      <c r="JT42" s="30"/>
      <c r="JU42" s="30"/>
      <c r="JV42" s="30"/>
      <c r="JW42" s="30"/>
      <c r="JX42" s="30"/>
      <c r="JY42" s="30"/>
      <c r="JZ42" s="30"/>
      <c r="KA42" s="30"/>
      <c r="KB42" s="30"/>
      <c r="KC42" s="30"/>
      <c r="KD42" s="30"/>
      <c r="KE42" s="30"/>
      <c r="KF42" s="30"/>
      <c r="KG42" s="30"/>
      <c r="KH42" s="30"/>
      <c r="KI42" s="30"/>
      <c r="KJ42" s="30"/>
      <c r="KK42" s="30"/>
      <c r="KL42" s="30"/>
      <c r="KM42" s="30"/>
      <c r="KN42" s="30"/>
      <c r="KO42" s="30"/>
      <c r="KP42" s="30"/>
      <c r="KQ42" s="30"/>
      <c r="KR42" s="30"/>
      <c r="KS42" s="30"/>
      <c r="KT42" s="30"/>
      <c r="KU42" s="30"/>
      <c r="KV42" s="30"/>
      <c r="KW42" s="30"/>
      <c r="KX42" s="30"/>
      <c r="KY42" s="30"/>
      <c r="KZ42" s="30"/>
      <c r="LA42" s="30"/>
      <c r="LB42" s="30"/>
      <c r="LC42" s="30"/>
      <c r="LD42" s="30"/>
      <c r="LE42" s="30"/>
      <c r="LF42" s="30"/>
      <c r="LG42" s="30"/>
      <c r="LH42" s="30"/>
      <c r="LI42" s="30"/>
      <c r="LJ42" s="30"/>
      <c r="LK42" s="30"/>
      <c r="LL42" s="30"/>
      <c r="LM42" s="30"/>
      <c r="LN42" s="30"/>
      <c r="LO42" s="30"/>
      <c r="LP42" s="30"/>
      <c r="LQ42" s="30"/>
      <c r="LR42" s="30"/>
      <c r="LS42" s="30"/>
      <c r="LT42" s="30"/>
      <c r="LU42" s="30"/>
      <c r="LV42" s="30"/>
      <c r="LW42" s="30"/>
      <c r="LX42" s="30"/>
      <c r="LY42" s="30"/>
      <c r="LZ42" s="30"/>
      <c r="MA42" s="30"/>
      <c r="MB42" s="30"/>
      <c r="MC42" s="30"/>
      <c r="MD42" s="30"/>
      <c r="ME42" s="30"/>
      <c r="MF42" s="30"/>
      <c r="MG42" s="30"/>
      <c r="MH42" s="30"/>
      <c r="MI42" s="30"/>
      <c r="MJ42" s="30"/>
      <c r="MK42" s="30"/>
      <c r="ML42" s="30"/>
      <c r="MM42" s="30"/>
      <c r="MN42" s="30"/>
      <c r="MO42" s="30"/>
      <c r="MP42" s="30"/>
      <c r="MQ42" s="30"/>
      <c r="MR42" s="30"/>
      <c r="MS42" s="30"/>
      <c r="MT42" s="30"/>
      <c r="MU42" s="30"/>
      <c r="MV42" s="30"/>
      <c r="MW42" s="30"/>
      <c r="MX42" s="30"/>
      <c r="MY42" s="30"/>
      <c r="MZ42" s="30"/>
      <c r="NA42" s="30"/>
      <c r="NB42" s="30"/>
      <c r="NC42" s="30"/>
      <c r="ND42" s="30"/>
      <c r="NE42" s="30"/>
      <c r="NF42" s="30"/>
      <c r="NG42" s="30"/>
      <c r="NH42" s="30"/>
      <c r="NI42" s="30"/>
      <c r="NJ42" s="30"/>
      <c r="NK42" s="30"/>
      <c r="NL42" s="30"/>
      <c r="NM42" s="30"/>
      <c r="NN42" s="30"/>
      <c r="NO42" s="30"/>
      <c r="NP42" s="30"/>
      <c r="NQ42" s="30"/>
      <c r="NR42" s="30"/>
      <c r="NS42" s="30"/>
      <c r="NT42" s="30"/>
      <c r="NU42" s="30"/>
      <c r="NV42" s="30"/>
      <c r="NW42" s="30"/>
      <c r="NX42" s="30"/>
      <c r="NY42" s="30"/>
      <c r="NZ42" s="30"/>
      <c r="OA42" s="30"/>
      <c r="OB42" s="30"/>
      <c r="OC42" s="30"/>
      <c r="OD42" s="30"/>
      <c r="OE42" s="30"/>
      <c r="OF42" s="30"/>
      <c r="OG42" s="42"/>
    </row>
    <row r="43" spans="7:397" ht="15" thickBot="1">
      <c r="H43" s="5"/>
      <c r="I43" s="5">
        <f t="shared" si="343"/>
        <v>24</v>
      </c>
      <c r="J43" s="5" t="s">
        <v>430</v>
      </c>
      <c r="K43">
        <f t="shared" si="344"/>
        <v>744.67093991179274</v>
      </c>
      <c r="AC43" s="43"/>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v>1</v>
      </c>
      <c r="ED43" s="44"/>
      <c r="EE43" s="44"/>
      <c r="EF43" s="44"/>
      <c r="EG43" s="44"/>
      <c r="EH43" s="44"/>
      <c r="EI43" s="44"/>
      <c r="EJ43" s="44">
        <v>1</v>
      </c>
      <c r="EK43" s="44"/>
      <c r="EL43" s="44"/>
      <c r="EM43" s="45">
        <v>1</v>
      </c>
      <c r="EN43" s="44"/>
      <c r="EO43" s="44"/>
      <c r="EP43" s="44"/>
      <c r="EQ43" s="44"/>
      <c r="ER43" s="44">
        <v>1</v>
      </c>
      <c r="ES43" s="44"/>
      <c r="ET43" s="44"/>
      <c r="EU43" s="44"/>
      <c r="EV43" s="44"/>
      <c r="EW43" s="44"/>
      <c r="EX43" s="44">
        <v>1</v>
      </c>
      <c r="EY43" s="45">
        <v>0</v>
      </c>
      <c r="EZ43" s="44"/>
      <c r="FA43" s="44"/>
      <c r="FB43" s="44"/>
      <c r="FC43" s="44">
        <v>1</v>
      </c>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v>1</v>
      </c>
      <c r="GE43" s="44"/>
      <c r="GF43" s="44"/>
      <c r="GG43" s="44"/>
      <c r="GH43" s="44"/>
      <c r="GI43" s="44"/>
      <c r="GJ43" s="44"/>
      <c r="GK43" s="44"/>
      <c r="GL43" s="44"/>
      <c r="GM43" s="44"/>
      <c r="GN43" s="44"/>
      <c r="GO43" s="44"/>
      <c r="GP43" s="44"/>
      <c r="GQ43" s="44"/>
      <c r="GR43" s="44"/>
      <c r="GS43" s="44"/>
      <c r="GT43" s="44">
        <v>1</v>
      </c>
      <c r="GU43" s="44"/>
      <c r="GV43" s="44"/>
      <c r="GW43" s="44"/>
      <c r="GX43" s="44"/>
      <c r="GY43" s="44"/>
      <c r="GZ43" s="44"/>
      <c r="HA43" s="44"/>
      <c r="HB43" s="44"/>
      <c r="HC43" s="44"/>
      <c r="HD43" s="44"/>
      <c r="HE43" s="44"/>
      <c r="HF43" s="44"/>
      <c r="HG43" s="44"/>
      <c r="HH43" s="44"/>
      <c r="HI43" s="44"/>
      <c r="HJ43" s="44"/>
      <c r="HK43" s="44">
        <v>1</v>
      </c>
      <c r="HL43" s="44"/>
      <c r="HM43" s="44"/>
      <c r="HN43" s="44"/>
      <c r="HO43" s="44"/>
      <c r="HP43" s="44"/>
      <c r="HQ43" s="44"/>
      <c r="HR43" s="44"/>
      <c r="HS43" s="44"/>
      <c r="HT43" s="44"/>
      <c r="HU43" s="44"/>
      <c r="HV43" s="44">
        <v>2</v>
      </c>
      <c r="HW43" s="44"/>
      <c r="HX43" s="44"/>
      <c r="HY43" s="44"/>
      <c r="HZ43" s="44"/>
      <c r="IA43" s="44"/>
      <c r="IB43" s="44"/>
      <c r="IC43" s="44"/>
      <c r="ID43" s="44"/>
      <c r="IE43" s="44">
        <v>1</v>
      </c>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v>1</v>
      </c>
      <c r="JO43" s="44"/>
      <c r="JP43" s="44"/>
      <c r="JQ43" s="44"/>
      <c r="JR43" s="44"/>
      <c r="JS43" s="44"/>
      <c r="JT43" s="44">
        <v>1</v>
      </c>
      <c r="JU43" s="44"/>
      <c r="JV43" s="44"/>
      <c r="JW43" s="44"/>
      <c r="JX43" s="44"/>
      <c r="JY43" s="44"/>
      <c r="JZ43" s="44"/>
      <c r="KA43" s="44"/>
      <c r="KB43" s="44"/>
      <c r="KC43" s="44"/>
      <c r="KD43" s="44"/>
      <c r="KE43" s="44"/>
      <c r="KF43" s="44"/>
      <c r="KG43" s="44"/>
      <c r="KH43" s="44"/>
      <c r="KI43" s="44"/>
      <c r="KJ43" s="44"/>
      <c r="KK43" s="44"/>
      <c r="KL43" s="44"/>
      <c r="KM43" s="44"/>
      <c r="KN43" s="44"/>
      <c r="KO43" s="44"/>
      <c r="KP43" s="44"/>
      <c r="KQ43" s="44"/>
      <c r="KR43" s="44"/>
      <c r="KS43" s="44"/>
      <c r="KT43" s="44"/>
      <c r="KU43" s="44"/>
      <c r="KV43" s="44"/>
      <c r="KW43" s="44"/>
      <c r="KX43" s="44"/>
      <c r="KY43" s="44"/>
      <c r="KZ43" s="44"/>
      <c r="LA43" s="44"/>
      <c r="LB43" s="44"/>
      <c r="LC43" s="44"/>
      <c r="LD43" s="44">
        <v>1</v>
      </c>
      <c r="LE43" s="44"/>
      <c r="LF43" s="44"/>
      <c r="LG43" s="44"/>
      <c r="LH43" s="44"/>
      <c r="LI43" s="44"/>
      <c r="LJ43" s="44"/>
      <c r="LK43" s="44"/>
      <c r="LL43" s="44"/>
      <c r="LM43" s="44"/>
      <c r="LN43" s="44"/>
      <c r="LO43" s="44"/>
      <c r="LP43" s="44"/>
      <c r="LQ43" s="44"/>
      <c r="LR43" s="44"/>
      <c r="LS43" s="44"/>
      <c r="LT43" s="44"/>
      <c r="LU43" s="44"/>
      <c r="LV43" s="44"/>
      <c r="LW43" s="44"/>
      <c r="LX43" s="44">
        <v>1</v>
      </c>
      <c r="LY43" s="44"/>
      <c r="LZ43" s="44"/>
      <c r="MA43" s="44"/>
      <c r="MB43" s="44"/>
      <c r="MC43" s="44"/>
      <c r="MD43" s="44"/>
      <c r="ME43" s="44"/>
      <c r="MF43" s="44"/>
      <c r="MG43" s="44"/>
      <c r="MH43" s="44"/>
      <c r="MI43" s="44"/>
      <c r="MJ43" s="44"/>
      <c r="MK43" s="44"/>
      <c r="ML43" s="44"/>
      <c r="MM43" s="44"/>
      <c r="MN43" s="44">
        <v>1</v>
      </c>
      <c r="MO43" s="44"/>
      <c r="MP43" s="44"/>
      <c r="MQ43" s="44"/>
      <c r="MR43" s="44"/>
      <c r="MS43" s="44"/>
      <c r="MT43" s="44"/>
      <c r="MU43" s="44"/>
      <c r="MV43" s="44"/>
      <c r="MW43" s="44"/>
      <c r="MX43" s="44"/>
      <c r="MY43" s="44">
        <v>1</v>
      </c>
      <c r="MZ43" s="44"/>
      <c r="NA43" s="44"/>
      <c r="NB43" s="44"/>
      <c r="NC43" s="44"/>
      <c r="ND43" s="44"/>
      <c r="NE43" s="44"/>
      <c r="NF43" s="44">
        <v>1</v>
      </c>
      <c r="NG43" s="44"/>
      <c r="NH43" s="44"/>
      <c r="NI43" s="44">
        <v>1</v>
      </c>
      <c r="NJ43" s="44"/>
      <c r="NK43" s="44"/>
      <c r="NL43" s="44"/>
      <c r="NM43" s="44"/>
      <c r="NN43" s="44"/>
      <c r="NO43" s="44">
        <v>1</v>
      </c>
      <c r="NP43" s="44"/>
      <c r="NQ43" s="44"/>
      <c r="NR43" s="44"/>
      <c r="NS43" s="44">
        <v>1</v>
      </c>
      <c r="NT43" s="44"/>
      <c r="NU43" s="44"/>
      <c r="NV43" s="44"/>
      <c r="NW43" s="44"/>
      <c r="NX43" s="44"/>
      <c r="NY43" s="44"/>
      <c r="NZ43" s="44"/>
      <c r="OA43" s="44"/>
      <c r="OB43" s="44">
        <v>1</v>
      </c>
      <c r="OC43" s="44"/>
      <c r="OD43" s="44"/>
      <c r="OE43" s="44">
        <v>1</v>
      </c>
      <c r="OF43" s="44"/>
      <c r="OG43" s="46"/>
    </row>
    <row r="44" spans="7:397">
      <c r="H44" s="5"/>
      <c r="I44" s="5"/>
      <c r="J44" s="5"/>
    </row>
    <row r="45" spans="7:397">
      <c r="H45" s="5"/>
      <c r="I45" s="5"/>
      <c r="J45" s="5"/>
    </row>
    <row r="46" spans="7:397">
      <c r="H46" s="5"/>
      <c r="I46" s="5"/>
      <c r="J46" s="5"/>
    </row>
    <row r="47" spans="7:397" s="28" customFormat="1">
      <c r="G47" s="27"/>
      <c r="H47" s="27"/>
      <c r="I47" s="27"/>
      <c r="J47" s="27"/>
    </row>
    <row r="48" spans="7:397">
      <c r="G48"/>
      <c r="H48"/>
      <c r="I48"/>
      <c r="J48"/>
    </row>
    <row r="49" spans="7:11">
      <c r="G49"/>
      <c r="H49"/>
      <c r="I49"/>
      <c r="J49"/>
    </row>
    <row r="50" spans="7:11">
      <c r="G50"/>
      <c r="H50"/>
      <c r="I50" s="33" t="s">
        <v>431</v>
      </c>
      <c r="J50" t="s">
        <v>432</v>
      </c>
      <c r="K50" t="s">
        <v>433</v>
      </c>
    </row>
    <row r="51" spans="7:11">
      <c r="G51"/>
      <c r="H51" t="s">
        <v>401</v>
      </c>
      <c r="I51">
        <v>27.905127903040398</v>
      </c>
      <c r="J51">
        <v>5.9247782824450104</v>
      </c>
      <c r="K51">
        <f>+J51+I51</f>
        <v>33.829906185485406</v>
      </c>
    </row>
    <row r="52" spans="7:11">
      <c r="G52"/>
      <c r="H52" t="s">
        <v>402</v>
      </c>
      <c r="I52">
        <v>1.7392189997007099</v>
      </c>
      <c r="J52">
        <v>3.27602269039927</v>
      </c>
      <c r="K52">
        <f t="shared" ref="K52:K68" si="345">+J52+I52</f>
        <v>5.0152416900999803</v>
      </c>
    </row>
    <row r="53" spans="7:11">
      <c r="G53"/>
      <c r="H53" t="s">
        <v>404</v>
      </c>
      <c r="I53">
        <v>23.879006137205799</v>
      </c>
      <c r="J53">
        <v>5.89195754679257</v>
      </c>
      <c r="K53">
        <f t="shared" si="345"/>
        <v>29.770963683998367</v>
      </c>
    </row>
    <row r="54" spans="7:11">
      <c r="G54"/>
      <c r="H54" t="s">
        <v>406</v>
      </c>
      <c r="I54">
        <v>4.3651453395935098</v>
      </c>
      <c r="J54">
        <v>1.27254533405631</v>
      </c>
      <c r="K54">
        <f t="shared" si="345"/>
        <v>5.6376906736498196</v>
      </c>
    </row>
    <row r="55" spans="7:11">
      <c r="G55"/>
      <c r="H55" t="s">
        <v>408</v>
      </c>
      <c r="I55">
        <v>4.26327913018617E-3</v>
      </c>
      <c r="J55">
        <v>1.66906522521931E-2</v>
      </c>
      <c r="K55">
        <f t="shared" si="345"/>
        <v>2.0953931382379269E-2</v>
      </c>
    </row>
    <row r="56" spans="7:11">
      <c r="G56"/>
      <c r="H56" t="s">
        <v>410</v>
      </c>
      <c r="I56">
        <v>44.645982379951803</v>
      </c>
      <c r="J56">
        <v>26.8069375412421</v>
      </c>
      <c r="K56">
        <f t="shared" si="345"/>
        <v>71.45291992119391</v>
      </c>
    </row>
    <row r="57" spans="7:11">
      <c r="G57"/>
      <c r="H57" t="s">
        <v>411</v>
      </c>
      <c r="I57">
        <v>18.504323642663898</v>
      </c>
      <c r="J57">
        <v>1.1142170644009</v>
      </c>
      <c r="K57">
        <f t="shared" si="345"/>
        <v>19.618540707064799</v>
      </c>
    </row>
    <row r="58" spans="7:11">
      <c r="G58"/>
      <c r="H58" t="s">
        <v>413</v>
      </c>
      <c r="I58">
        <v>0.100745299385174</v>
      </c>
      <c r="J58">
        <v>4.2825705111393698E-2</v>
      </c>
      <c r="K58">
        <f t="shared" si="345"/>
        <v>0.14357100449656771</v>
      </c>
    </row>
    <row r="59" spans="7:11">
      <c r="G59"/>
      <c r="H59" s="4" t="s">
        <v>414</v>
      </c>
      <c r="J59">
        <v>3.0029398177539201E-2</v>
      </c>
      <c r="K59">
        <f t="shared" si="345"/>
        <v>3.0029398177539201E-2</v>
      </c>
    </row>
    <row r="60" spans="7:11">
      <c r="G60"/>
      <c r="H60" t="s">
        <v>416</v>
      </c>
      <c r="I60">
        <v>16.4847966292919</v>
      </c>
      <c r="J60">
        <v>23.564803160621398</v>
      </c>
      <c r="K60">
        <f t="shared" si="345"/>
        <v>40.049599789913302</v>
      </c>
    </row>
    <row r="61" spans="7:11">
      <c r="G61"/>
      <c r="H61" t="s">
        <v>418</v>
      </c>
      <c r="I61">
        <v>3.1688808329681599E-3</v>
      </c>
      <c r="J61">
        <v>7.9068868474840501E-4</v>
      </c>
      <c r="K61">
        <f t="shared" si="345"/>
        <v>3.9595695177165654E-3</v>
      </c>
    </row>
    <row r="62" spans="7:11">
      <c r="G62"/>
      <c r="H62" t="s">
        <v>420</v>
      </c>
      <c r="I62">
        <v>24.253905494425499</v>
      </c>
      <c r="J62">
        <v>27.8842545093081</v>
      </c>
      <c r="K62">
        <f t="shared" si="345"/>
        <v>52.138160003733603</v>
      </c>
    </row>
    <row r="63" spans="7:11">
      <c r="G63"/>
      <c r="H63" t="s">
        <v>421</v>
      </c>
      <c r="I63">
        <v>117.55375923444799</v>
      </c>
      <c r="J63">
        <v>34.9348256779124</v>
      </c>
      <c r="K63">
        <f t="shared" si="345"/>
        <v>152.48858491236041</v>
      </c>
    </row>
    <row r="64" spans="7:11">
      <c r="G64"/>
      <c r="H64" t="s">
        <v>423</v>
      </c>
      <c r="I64">
        <v>58.311911482255603</v>
      </c>
      <c r="J64">
        <v>56.104476886201802</v>
      </c>
      <c r="K64">
        <f t="shared" si="345"/>
        <v>114.4163883684574</v>
      </c>
    </row>
    <row r="65" spans="7:11">
      <c r="G65"/>
      <c r="H65" t="s">
        <v>425</v>
      </c>
      <c r="I65">
        <v>3.3581470497137702</v>
      </c>
      <c r="J65">
        <v>0.13884693621806901</v>
      </c>
      <c r="K65">
        <f t="shared" si="345"/>
        <v>3.4969939859318391</v>
      </c>
    </row>
    <row r="66" spans="7:11">
      <c r="G66"/>
      <c r="H66" t="s">
        <v>427</v>
      </c>
      <c r="I66">
        <v>37.116076397421701</v>
      </c>
      <c r="J66">
        <v>12.8978456630638</v>
      </c>
      <c r="K66">
        <f t="shared" si="345"/>
        <v>50.013922060485498</v>
      </c>
    </row>
    <row r="67" spans="7:11">
      <c r="G67"/>
      <c r="H67" t="s">
        <v>429</v>
      </c>
      <c r="I67">
        <v>1.88093904752734</v>
      </c>
      <c r="J67">
        <v>8.8796968412098192</v>
      </c>
      <c r="K67">
        <f t="shared" si="345"/>
        <v>10.760635888737159</v>
      </c>
    </row>
    <row r="68" spans="7:11">
      <c r="G68"/>
      <c r="H68" t="s">
        <v>430</v>
      </c>
      <c r="I68">
        <v>699.76452512456899</v>
      </c>
      <c r="J68">
        <v>44.906414787223802</v>
      </c>
      <c r="K68">
        <f t="shared" si="345"/>
        <v>744.67093991179274</v>
      </c>
    </row>
    <row r="69" spans="7:11">
      <c r="G69"/>
      <c r="H69"/>
      <c r="I69"/>
      <c r="J69"/>
    </row>
    <row r="70" spans="7:11">
      <c r="G70"/>
      <c r="H70"/>
      <c r="I70"/>
      <c r="J70"/>
    </row>
    <row r="71" spans="7:11">
      <c r="G71"/>
      <c r="H71"/>
      <c r="I71"/>
      <c r="J71"/>
    </row>
    <row r="72" spans="7:11">
      <c r="G72"/>
      <c r="H72"/>
      <c r="I72"/>
      <c r="J72"/>
    </row>
    <row r="73" spans="7:11">
      <c r="G73"/>
      <c r="H73"/>
      <c r="I73"/>
      <c r="J73"/>
    </row>
    <row r="74" spans="7:11">
      <c r="G74"/>
      <c r="H74"/>
      <c r="I74"/>
      <c r="J74"/>
    </row>
    <row r="75" spans="7:11">
      <c r="G75"/>
      <c r="H75"/>
      <c r="I75"/>
      <c r="J75"/>
    </row>
    <row r="76" spans="7:11">
      <c r="G76"/>
      <c r="H76"/>
      <c r="I76"/>
      <c r="J76"/>
    </row>
    <row r="80" spans="7:11" s="22" customFormat="1">
      <c r="G80" s="20"/>
      <c r="H80" s="20"/>
      <c r="I80" s="20"/>
      <c r="J80" s="21"/>
    </row>
    <row r="81" spans="7:39" s="22" customFormat="1">
      <c r="G81" s="20"/>
      <c r="H81" s="20"/>
      <c r="I81" s="20"/>
      <c r="J81" s="21"/>
      <c r="AC81" t="s">
        <v>386</v>
      </c>
      <c r="AD81" t="s">
        <v>388</v>
      </c>
      <c r="AE81" t="s">
        <v>389</v>
      </c>
      <c r="AF81" t="s">
        <v>390</v>
      </c>
      <c r="AG81" t="s">
        <v>391</v>
      </c>
      <c r="AH81" t="s">
        <v>392</v>
      </c>
      <c r="AI81" t="s">
        <v>393</v>
      </c>
      <c r="AJ81" t="s">
        <v>394</v>
      </c>
      <c r="AK81" t="s">
        <v>395</v>
      </c>
      <c r="AL81" t="s">
        <v>396</v>
      </c>
      <c r="AM81" t="s">
        <v>397</v>
      </c>
    </row>
    <row r="82" spans="7:39">
      <c r="I82"/>
      <c r="J82" t="s">
        <v>401</v>
      </c>
      <c r="K82">
        <f>+K51</f>
        <v>33.829906185485406</v>
      </c>
      <c r="AC82">
        <f>$K82*SUMPRODUCT($AC26:$OG26,$AC$7:$OG$7)/SUMPRODUCT($AC26:$OG26,$AC$17:$OG$17)</f>
        <v>1.71546132432489</v>
      </c>
      <c r="AD82">
        <f>$K82*SUMPRODUCT($AC26:$OG26,$AC$8:$OG$8)/SUMPRODUCT($AC26:$OG26,$AC$17:$OG$17)</f>
        <v>2.0489037640507499</v>
      </c>
      <c r="AE82">
        <f>$K82*SUMPRODUCT($AC26:$OG26,$AC$9:$OG$9)/SUMPRODUCT($AC26:$OG26,$AC$17:$OG$17)</f>
        <v>2.5782232511359178</v>
      </c>
      <c r="AF82">
        <f>$K82*SUMPRODUCT($AC26:$OG26,$AC$10:$OG$10)/SUMPRODUCT($AC26:$OG26,$AC$17:$OG$17)</f>
        <v>2.9665564148915977</v>
      </c>
      <c r="AG82">
        <f>$K82*SUMPRODUCT($AC26:$OG26,$AC$11:$OG$11)/SUMPRODUCT($AC26:$OG26,$AC$17:$OG$17)</f>
        <v>3.2883595094903884</v>
      </c>
      <c r="AH82">
        <f>$K82*SUMPRODUCT($AC26:$OG26,$AC$12:$OG$12)/SUMPRODUCT($AC26:$OG26,$AC$17:$OG$17)</f>
        <v>3.554513002772997</v>
      </c>
      <c r="AI82">
        <f>$K82*SUMPRODUCT($AC26:$OG26,$AC$13:$OG$13)/SUMPRODUCT($AC26:$OG26,$AC$17:$OG$17)</f>
        <v>3.9382072574702849</v>
      </c>
      <c r="AJ82">
        <f>$K82*SUMPRODUCT($AC26:$OG26,$AC$14:$OG$14)/SUMPRODUCT($AC26:$OG26,$AC$17:$OG$17)</f>
        <v>4.1952563341411278</v>
      </c>
      <c r="AK82">
        <f>$K82*SUMPRODUCT($AC26:$OG26,$AC$15:$OG$15)/SUMPRODUCT($AC26:$OG26,$AC$17:$OG$17)</f>
        <v>4.4801683235508056</v>
      </c>
      <c r="AL82">
        <f>$K82*SUMPRODUCT($AC26:$OG26,$AC$16:$OG$16)/SUMPRODUCT($AC26:$OG26,$AC$17:$OG$17)</f>
        <v>5.0642570036564383</v>
      </c>
      <c r="AM82">
        <f>$K82*SUMPRODUCT($AC26:$OG26,$AC$17:$OG$17)/SUMPRODUCT($AC26:$OG26,$AC$17:$OG$17)</f>
        <v>33.829906185485406</v>
      </c>
    </row>
    <row r="83" spans="7:39">
      <c r="I83"/>
      <c r="J83" t="s">
        <v>402</v>
      </c>
      <c r="K83">
        <f t="shared" ref="K83:K99" si="346">+K52</f>
        <v>5.0152416900999803</v>
      </c>
      <c r="AC83">
        <f>$K83*SUMPRODUCT($AC27:$OG27,$AC$7:$OG$7)/SUMPRODUCT($AC27:$OG27,$AC$17:$OG$17)</f>
        <v>0.38185940088662346</v>
      </c>
      <c r="AD83">
        <f>$K83*SUMPRODUCT($AC27:$OG27,$AC$8:$OG$8)/SUMPRODUCT($AC27:$OG27,$AC$17:$OG$17)</f>
        <v>0.4075827355075512</v>
      </c>
      <c r="AE83">
        <f>$K83*SUMPRODUCT($AC27:$OG27,$AC$9:$OG$9)/SUMPRODUCT($AC27:$OG27,$AC$17:$OG$17)</f>
        <v>0.43456330285844968</v>
      </c>
      <c r="AF83">
        <f>$K83*SUMPRODUCT($AC27:$OG27,$AC$10:$OG$10)/SUMPRODUCT($AC27:$OG27,$AC$17:$OG$17)</f>
        <v>0.4462860543643305</v>
      </c>
      <c r="AG83">
        <f>$K83*SUMPRODUCT($AC27:$OG27,$AC$11:$OG$11)/SUMPRODUCT($AC27:$OG27,$AC$17:$OG$17)</f>
        <v>0.46982303846764334</v>
      </c>
      <c r="AH83">
        <f>$K83*SUMPRODUCT($AC27:$OG27,$AC$12:$OG$12)/SUMPRODUCT($AC27:$OG27,$AC$17:$OG$17)</f>
        <v>0.4982731832631111</v>
      </c>
      <c r="AI83">
        <f>$K83*SUMPRODUCT($AC27:$OG27,$AC$13:$OG$13)/SUMPRODUCT($AC27:$OG27,$AC$17:$OG$17)</f>
        <v>0.51461782615761598</v>
      </c>
      <c r="AJ83">
        <f>$K83*SUMPRODUCT($AC27:$OG27,$AC$14:$OG$14)/SUMPRODUCT($AC27:$OG27,$AC$17:$OG$17)</f>
        <v>0.53940932478451409</v>
      </c>
      <c r="AK83">
        <f>$K83*SUMPRODUCT($AC27:$OG27,$AC$15:$OG$15)/SUMPRODUCT($AC27:$OG27,$AC$17:$OG$17)</f>
        <v>0.59439968520858211</v>
      </c>
      <c r="AL83">
        <f>$K83*SUMPRODUCT($AC27:$OG27,$AC$16:$OG$16)/SUMPRODUCT($AC27:$OG27,$AC$17:$OG$17)</f>
        <v>0.72842713860153996</v>
      </c>
      <c r="AM83">
        <f>$K83*SUMPRODUCT($AC27:$OG27,$AC$17:$OG$17)/SUMPRODUCT($AC27:$OG27,$AC$17:$OG$17)</f>
        <v>5.0152416900999803</v>
      </c>
    </row>
    <row r="84" spans="7:39">
      <c r="I84"/>
      <c r="J84" t="s">
        <v>404</v>
      </c>
      <c r="K84">
        <f t="shared" si="346"/>
        <v>29.770963683998367</v>
      </c>
      <c r="AC84">
        <f t="shared" ref="AC84:AC99" si="347">$K84*SUMPRODUCT($AC28:$OG28,$AC$7:$OG$7)/SUMPRODUCT($AC28:$OG28,$AC$17:$OG$17)</f>
        <v>1.7524282370011046</v>
      </c>
      <c r="AD84">
        <f t="shared" ref="AD84:AD99" si="348">$K84*SUMPRODUCT($AC28:$OG28,$AC$8:$OG$8)/SUMPRODUCT($AC28:$OG28,$AC$17:$OG$17)</f>
        <v>2.0006368113859305</v>
      </c>
      <c r="AE84">
        <f t="shared" ref="AE84:AE99" si="349">$K84*SUMPRODUCT($AC28:$OG28,$AC$9:$OG$9)/SUMPRODUCT($AC28:$OG28,$AC$17:$OG$17)</f>
        <v>2.1726966471743983</v>
      </c>
      <c r="AF84">
        <f t="shared" ref="AF84:AF99" si="350">$K84*SUMPRODUCT($AC28:$OG28,$AC$10:$OG$10)/SUMPRODUCT($AC28:$OG28,$AC$17:$OG$17)</f>
        <v>2.4946254620362645</v>
      </c>
      <c r="AG84">
        <f t="shared" ref="AG84:AG99" si="351">$K84*SUMPRODUCT($AC28:$OG28,$AC$11:$OG$11)/SUMPRODUCT($AC28:$OG28,$AC$17:$OG$17)</f>
        <v>2.5800772613409593</v>
      </c>
      <c r="AH84">
        <f t="shared" ref="AH84:AH99" si="352">$K84*SUMPRODUCT($AC28:$OG28,$AC$12:$OG$12)/SUMPRODUCT($AC28:$OG28,$AC$17:$OG$17)</f>
        <v>2.8954354876927328</v>
      </c>
      <c r="AI84">
        <f t="shared" ref="AI84:AI99" si="353">$K84*SUMPRODUCT($AC28:$OG28,$AC$13:$OG$13)/SUMPRODUCT($AC28:$OG28,$AC$17:$OG$17)</f>
        <v>3.0553370678094169</v>
      </c>
      <c r="AJ84">
        <f t="shared" ref="AJ84:AJ99" si="354">$K84*SUMPRODUCT($AC28:$OG28,$AC$14:$OG$14)/SUMPRODUCT($AC28:$OG28,$AC$17:$OG$17)</f>
        <v>3.4921273809588662</v>
      </c>
      <c r="AK84">
        <f t="shared" ref="AK84:AK99" si="355">$K84*SUMPRODUCT($AC28:$OG28,$AC$15:$OG$15)/SUMPRODUCT($AC28:$OG28,$AC$17:$OG$17)</f>
        <v>3.9553929453677257</v>
      </c>
      <c r="AL84">
        <f t="shared" ref="AL84:AL99" si="356">$K84*SUMPRODUCT($AC28:$OG28,$AC$16:$OG$16)/SUMPRODUCT($AC28:$OG28,$AC$17:$OG$17)</f>
        <v>5.3722063832306874</v>
      </c>
      <c r="AM84">
        <f t="shared" ref="AM84:AM99" si="357">$K84*SUMPRODUCT($AC28:$OG28,$AC$17:$OG$17)/SUMPRODUCT($AC28:$OG28,$AC$17:$OG$17)</f>
        <v>29.770963683998371</v>
      </c>
    </row>
    <row r="85" spans="7:39">
      <c r="I85"/>
      <c r="J85" t="s">
        <v>406</v>
      </c>
      <c r="K85">
        <f t="shared" si="346"/>
        <v>5.6376906736498196</v>
      </c>
      <c r="AC85">
        <f t="shared" si="347"/>
        <v>0.25693114997992611</v>
      </c>
      <c r="AD85">
        <f t="shared" si="348"/>
        <v>0.32404814100226303</v>
      </c>
      <c r="AE85">
        <f t="shared" si="349"/>
        <v>0.40042989181484084</v>
      </c>
      <c r="AF85">
        <f t="shared" si="350"/>
        <v>0.48534395815693759</v>
      </c>
      <c r="AG85">
        <f t="shared" si="351"/>
        <v>0.54612721698002598</v>
      </c>
      <c r="AH85">
        <f t="shared" si="352"/>
        <v>0.58475807610932806</v>
      </c>
      <c r="AI85">
        <f t="shared" si="353"/>
        <v>0.62117774116537106</v>
      </c>
      <c r="AJ85">
        <f t="shared" si="354"/>
        <v>0.67621805112970335</v>
      </c>
      <c r="AK85">
        <f t="shared" si="355"/>
        <v>0.78616228007137234</v>
      </c>
      <c r="AL85">
        <f t="shared" si="356"/>
        <v>0.95649416724007941</v>
      </c>
      <c r="AM85">
        <f t="shared" si="357"/>
        <v>5.6376906736498187</v>
      </c>
    </row>
    <row r="86" spans="7:39">
      <c r="I86"/>
      <c r="J86" t="s">
        <v>408</v>
      </c>
      <c r="K86">
        <f t="shared" si="346"/>
        <v>2.0953931382379269E-2</v>
      </c>
      <c r="AC86">
        <f t="shared" si="347"/>
        <v>8.1507101139804907E-4</v>
      </c>
      <c r="AD86">
        <f t="shared" si="348"/>
        <v>1.0914393049343697E-3</v>
      </c>
      <c r="AE86">
        <f t="shared" si="349"/>
        <v>1.3318421828023633E-3</v>
      </c>
      <c r="AF86">
        <f t="shared" si="350"/>
        <v>1.7044564237098316E-3</v>
      </c>
      <c r="AG86">
        <f t="shared" si="351"/>
        <v>2.1839355575994212E-3</v>
      </c>
      <c r="AH86">
        <f t="shared" si="352"/>
        <v>2.3873788515957903E-3</v>
      </c>
      <c r="AI86">
        <f t="shared" si="353"/>
        <v>2.3979806905589647E-3</v>
      </c>
      <c r="AJ86">
        <f t="shared" si="354"/>
        <v>2.5238582383862681E-3</v>
      </c>
      <c r="AK86">
        <f t="shared" si="355"/>
        <v>3.0189237256489938E-3</v>
      </c>
      <c r="AL86">
        <f t="shared" si="356"/>
        <v>3.4990453957452492E-3</v>
      </c>
      <c r="AM86">
        <f t="shared" si="357"/>
        <v>2.0953931382379269E-2</v>
      </c>
    </row>
    <row r="87" spans="7:39">
      <c r="I87"/>
      <c r="J87" t="s">
        <v>410</v>
      </c>
      <c r="K87">
        <f t="shared" si="346"/>
        <v>71.45291992119391</v>
      </c>
      <c r="AC87">
        <f t="shared" si="347"/>
        <v>1.5794166635799705</v>
      </c>
      <c r="AD87">
        <f t="shared" si="348"/>
        <v>1.8304278508588838</v>
      </c>
      <c r="AE87">
        <f t="shared" si="349"/>
        <v>2.733706915445191</v>
      </c>
      <c r="AF87">
        <f t="shared" si="350"/>
        <v>4.3861935268832832</v>
      </c>
      <c r="AG87">
        <f t="shared" si="351"/>
        <v>4.7023819688347599</v>
      </c>
      <c r="AH87">
        <f t="shared" si="352"/>
        <v>5.6054722032807645</v>
      </c>
      <c r="AI87">
        <f t="shared" si="353"/>
        <v>5.7690034236025802</v>
      </c>
      <c r="AJ87">
        <f t="shared" si="354"/>
        <v>9.7174670464186246</v>
      </c>
      <c r="AK87">
        <f t="shared" si="355"/>
        <v>11.96927678573585</v>
      </c>
      <c r="AL87">
        <f t="shared" si="356"/>
        <v>23.159573536553967</v>
      </c>
      <c r="AM87">
        <f t="shared" si="357"/>
        <v>71.45291992119391</v>
      </c>
    </row>
    <row r="88" spans="7:39">
      <c r="I88"/>
      <c r="J88" t="s">
        <v>411</v>
      </c>
      <c r="K88">
        <f t="shared" si="346"/>
        <v>19.618540707064799</v>
      </c>
      <c r="AC88">
        <f t="shared" si="347"/>
        <v>1.8873384768119956</v>
      </c>
      <c r="AD88">
        <f t="shared" si="348"/>
        <v>1.8195891947799532</v>
      </c>
      <c r="AE88">
        <f t="shared" si="349"/>
        <v>1.8557142447302453</v>
      </c>
      <c r="AF88">
        <f t="shared" si="350"/>
        <v>1.7992690658189276</v>
      </c>
      <c r="AG88">
        <f t="shared" si="351"/>
        <v>1.8734505196274354</v>
      </c>
      <c r="AH88">
        <f t="shared" si="352"/>
        <v>1.9149455526404715</v>
      </c>
      <c r="AI88">
        <f t="shared" si="353"/>
        <v>1.9607719864589028</v>
      </c>
      <c r="AJ88">
        <f t="shared" si="354"/>
        <v>2.0343066594025228</v>
      </c>
      <c r="AK88">
        <f t="shared" si="355"/>
        <v>2.1194950601803737</v>
      </c>
      <c r="AL88">
        <f t="shared" si="356"/>
        <v>2.3536599466138171</v>
      </c>
      <c r="AM88">
        <f t="shared" si="357"/>
        <v>19.618540707064799</v>
      </c>
    </row>
    <row r="89" spans="7:39">
      <c r="I89"/>
      <c r="J89" t="s">
        <v>413</v>
      </c>
      <c r="K89">
        <f t="shared" si="346"/>
        <v>0.14357100449656771</v>
      </c>
      <c r="AC89">
        <f t="shared" si="347"/>
        <v>1.5993690540901682E-2</v>
      </c>
      <c r="AD89">
        <f t="shared" si="348"/>
        <v>1.3332435118936397E-2</v>
      </c>
      <c r="AE89">
        <f t="shared" si="349"/>
        <v>1.2360937344430591E-2</v>
      </c>
      <c r="AF89">
        <f t="shared" si="350"/>
        <v>1.1800212274995569E-2</v>
      </c>
      <c r="AG89">
        <f t="shared" si="351"/>
        <v>1.3785206087885934E-2</v>
      </c>
      <c r="AH89">
        <f t="shared" si="352"/>
        <v>1.4511417652434843E-2</v>
      </c>
      <c r="AI89">
        <f t="shared" si="353"/>
        <v>1.5224204438700813E-2</v>
      </c>
      <c r="AJ89">
        <f t="shared" si="354"/>
        <v>1.5701937704288078E-2</v>
      </c>
      <c r="AK89">
        <f t="shared" si="355"/>
        <v>1.5155748996580565E-2</v>
      </c>
      <c r="AL89">
        <f t="shared" si="356"/>
        <v>1.5705214337413727E-2</v>
      </c>
      <c r="AM89">
        <f t="shared" si="357"/>
        <v>0.14357100449656771</v>
      </c>
    </row>
    <row r="90" spans="7:39">
      <c r="I90"/>
      <c r="J90" s="4" t="s">
        <v>414</v>
      </c>
      <c r="K90">
        <f t="shared" si="346"/>
        <v>3.0029398177539201E-2</v>
      </c>
      <c r="AC90">
        <f t="shared" si="347"/>
        <v>2.1533638573073008E-3</v>
      </c>
      <c r="AD90">
        <f t="shared" si="348"/>
        <v>2.1265448701115902E-3</v>
      </c>
      <c r="AE90">
        <f t="shared" si="349"/>
        <v>2.3889576495133577E-3</v>
      </c>
      <c r="AF90">
        <f t="shared" si="350"/>
        <v>2.7438937471092818E-3</v>
      </c>
      <c r="AG90">
        <f t="shared" si="351"/>
        <v>2.8886254965335974E-3</v>
      </c>
      <c r="AH90">
        <f t="shared" si="352"/>
        <v>2.9526714157719534E-3</v>
      </c>
      <c r="AI90">
        <f t="shared" si="353"/>
        <v>3.3372668212521095E-3</v>
      </c>
      <c r="AJ90">
        <f t="shared" si="354"/>
        <v>3.3838863463640026E-3</v>
      </c>
      <c r="AK90">
        <f t="shared" si="355"/>
        <v>3.7136496276058474E-3</v>
      </c>
      <c r="AL90">
        <f t="shared" si="356"/>
        <v>4.3405383459701611E-3</v>
      </c>
      <c r="AM90">
        <f t="shared" si="357"/>
        <v>3.0029398177539201E-2</v>
      </c>
    </row>
    <row r="91" spans="7:39">
      <c r="I91"/>
      <c r="J91" t="s">
        <v>416</v>
      </c>
      <c r="K91">
        <f t="shared" si="346"/>
        <v>40.049599789913302</v>
      </c>
      <c r="AC91">
        <f t="shared" si="347"/>
        <v>2.2667020580005222</v>
      </c>
      <c r="AD91">
        <f t="shared" si="348"/>
        <v>2.670635639449404</v>
      </c>
      <c r="AE91">
        <f t="shared" si="349"/>
        <v>3.0079038442128074</v>
      </c>
      <c r="AF91">
        <f t="shared" si="350"/>
        <v>3.4316023833851275</v>
      </c>
      <c r="AG91">
        <f t="shared" si="351"/>
        <v>3.6984224549603266</v>
      </c>
      <c r="AH91">
        <f t="shared" si="352"/>
        <v>4.127473955540192</v>
      </c>
      <c r="AI91">
        <f t="shared" si="353"/>
        <v>4.453628118359088</v>
      </c>
      <c r="AJ91">
        <f t="shared" si="354"/>
        <v>4.8759291702568142</v>
      </c>
      <c r="AK91">
        <f t="shared" si="355"/>
        <v>5.2220432371675356</v>
      </c>
      <c r="AL91">
        <f t="shared" si="356"/>
        <v>6.2952589285815659</v>
      </c>
      <c r="AM91">
        <f t="shared" si="357"/>
        <v>40.049599789913302</v>
      </c>
    </row>
    <row r="92" spans="7:39">
      <c r="I92"/>
      <c r="J92" t="s">
        <v>418</v>
      </c>
      <c r="K92">
        <f t="shared" si="346"/>
        <v>3.9595695177165654E-3</v>
      </c>
      <c r="AC92">
        <f t="shared" si="347"/>
        <v>1.5402027775179584E-4</v>
      </c>
      <c r="AD92">
        <f t="shared" si="348"/>
        <v>2.0624434257191762E-4</v>
      </c>
      <c r="AE92">
        <f t="shared" si="349"/>
        <v>2.5167218567242132E-4</v>
      </c>
      <c r="AF92">
        <f t="shared" si="350"/>
        <v>3.2208341129116158E-4</v>
      </c>
      <c r="AG92">
        <f t="shared" si="351"/>
        <v>4.1268841176982524E-4</v>
      </c>
      <c r="AH92">
        <f t="shared" si="352"/>
        <v>4.5113216968769643E-4</v>
      </c>
      <c r="AI92">
        <f t="shared" si="353"/>
        <v>4.5313555118323893E-4</v>
      </c>
      <c r="AJ92">
        <f t="shared" si="354"/>
        <v>4.7692206132524665E-4</v>
      </c>
      <c r="AK92">
        <f t="shared" si="355"/>
        <v>5.7047234441376577E-4</v>
      </c>
      <c r="AL92">
        <f t="shared" si="356"/>
        <v>6.6119876204950216E-4</v>
      </c>
      <c r="AM92">
        <f t="shared" si="357"/>
        <v>3.9595695177165654E-3</v>
      </c>
    </row>
    <row r="93" spans="7:39">
      <c r="I93"/>
      <c r="J93" t="s">
        <v>420</v>
      </c>
      <c r="K93">
        <f t="shared" si="346"/>
        <v>52.138160003733603</v>
      </c>
      <c r="AC93">
        <f t="shared" si="347"/>
        <v>1.7266032574379102</v>
      </c>
      <c r="AD93">
        <f t="shared" si="348"/>
        <v>2.1425860384863933</v>
      </c>
      <c r="AE93">
        <f t="shared" si="349"/>
        <v>2.8630937579361837</v>
      </c>
      <c r="AF93">
        <f t="shared" si="350"/>
        <v>3.6896477904049751</v>
      </c>
      <c r="AG93">
        <f t="shared" si="351"/>
        <v>4.0122248507678027</v>
      </c>
      <c r="AH93">
        <f t="shared" si="352"/>
        <v>4.6121581137834129</v>
      </c>
      <c r="AI93">
        <f t="shared" si="353"/>
        <v>4.98689466086749</v>
      </c>
      <c r="AJ93">
        <f t="shared" si="354"/>
        <v>6.8050383823911194</v>
      </c>
      <c r="AK93">
        <f t="shared" si="355"/>
        <v>8.0598563244279315</v>
      </c>
      <c r="AL93">
        <f t="shared" si="356"/>
        <v>13.240056827230354</v>
      </c>
      <c r="AM93">
        <f t="shared" si="357"/>
        <v>52.138160003733603</v>
      </c>
    </row>
    <row r="94" spans="7:39">
      <c r="I94"/>
      <c r="J94" t="s">
        <v>421</v>
      </c>
      <c r="K94">
        <f t="shared" si="346"/>
        <v>152.48858491236041</v>
      </c>
      <c r="AC94">
        <f t="shared" si="347"/>
        <v>12.772694833971435</v>
      </c>
      <c r="AD94">
        <f t="shared" si="348"/>
        <v>13.137519942568867</v>
      </c>
      <c r="AE94">
        <f t="shared" si="349"/>
        <v>13.993828331699689</v>
      </c>
      <c r="AF94">
        <f t="shared" si="350"/>
        <v>14.311027974209177</v>
      </c>
      <c r="AG94">
        <f t="shared" si="351"/>
        <v>14.951487979897268</v>
      </c>
      <c r="AH94">
        <f t="shared" si="352"/>
        <v>15.334967123738892</v>
      </c>
      <c r="AI94">
        <f t="shared" si="353"/>
        <v>15.959488730942613</v>
      </c>
      <c r="AJ94">
        <f t="shared" si="354"/>
        <v>16.518470152880653</v>
      </c>
      <c r="AK94">
        <f t="shared" si="355"/>
        <v>16.802574139167461</v>
      </c>
      <c r="AL94">
        <f t="shared" si="356"/>
        <v>18.706525703284363</v>
      </c>
      <c r="AM94">
        <f t="shared" si="357"/>
        <v>152.48858491236041</v>
      </c>
    </row>
    <row r="95" spans="7:39">
      <c r="I95"/>
      <c r="J95" t="s">
        <v>423</v>
      </c>
      <c r="K95">
        <f t="shared" si="346"/>
        <v>114.4163883684574</v>
      </c>
      <c r="AC95">
        <f t="shared" si="347"/>
        <v>5.5885136110359266</v>
      </c>
      <c r="AD95">
        <f t="shared" si="348"/>
        <v>6.6422065120333089</v>
      </c>
      <c r="AE95">
        <f t="shared" si="349"/>
        <v>7.738983489283906</v>
      </c>
      <c r="AF95">
        <f t="shared" si="350"/>
        <v>9.1337940522703907</v>
      </c>
      <c r="AG95">
        <f t="shared" si="351"/>
        <v>9.9666914021565649</v>
      </c>
      <c r="AH95">
        <f t="shared" si="352"/>
        <v>11.164688814272591</v>
      </c>
      <c r="AI95">
        <f t="shared" si="353"/>
        <v>12.478434139510501</v>
      </c>
      <c r="AJ95">
        <f t="shared" si="354"/>
        <v>13.922980874151536</v>
      </c>
      <c r="AK95">
        <f t="shared" si="355"/>
        <v>15.948757356622204</v>
      </c>
      <c r="AL95">
        <f t="shared" si="356"/>
        <v>21.831338117121437</v>
      </c>
      <c r="AM95">
        <f t="shared" si="357"/>
        <v>114.41638836845742</v>
      </c>
    </row>
    <row r="96" spans="7:39">
      <c r="I96"/>
      <c r="J96" t="s">
        <v>425</v>
      </c>
      <c r="K96">
        <f t="shared" si="346"/>
        <v>3.4969939859318391</v>
      </c>
      <c r="AC96">
        <f t="shared" si="347"/>
        <v>0.12149713223403355</v>
      </c>
      <c r="AD96">
        <f t="shared" si="348"/>
        <v>0.14065344250291462</v>
      </c>
      <c r="AE96">
        <f t="shared" si="349"/>
        <v>0.17787187270576854</v>
      </c>
      <c r="AF96">
        <f t="shared" si="350"/>
        <v>0.25751346222876914</v>
      </c>
      <c r="AG96">
        <f t="shared" si="351"/>
        <v>0.33218411601769099</v>
      </c>
      <c r="AH96">
        <f t="shared" si="352"/>
        <v>0.33017223861756284</v>
      </c>
      <c r="AI96">
        <f t="shared" si="353"/>
        <v>0.37598812521531683</v>
      </c>
      <c r="AJ96">
        <f t="shared" si="354"/>
        <v>0.45861893264267084</v>
      </c>
      <c r="AK96">
        <f t="shared" si="355"/>
        <v>0.59685937207328421</v>
      </c>
      <c r="AL96">
        <f t="shared" si="356"/>
        <v>0.70563529169382988</v>
      </c>
      <c r="AM96">
        <f t="shared" si="357"/>
        <v>3.4969939859318391</v>
      </c>
    </row>
    <row r="97" spans="9:39">
      <c r="I97"/>
      <c r="J97" t="s">
        <v>427</v>
      </c>
      <c r="K97">
        <f t="shared" si="346"/>
        <v>50.013922060485498</v>
      </c>
      <c r="AC97">
        <f t="shared" si="347"/>
        <v>3.043471318167458</v>
      </c>
      <c r="AD97">
        <f t="shared" si="348"/>
        <v>3.3720719686563578</v>
      </c>
      <c r="AE97">
        <f t="shared" si="349"/>
        <v>3.2400053201633057</v>
      </c>
      <c r="AF97">
        <f t="shared" si="350"/>
        <v>3.7700361464224157</v>
      </c>
      <c r="AG97">
        <f t="shared" si="351"/>
        <v>3.7752701657882244</v>
      </c>
      <c r="AH97">
        <f t="shared" si="352"/>
        <v>4.4345260949999599</v>
      </c>
      <c r="AI97">
        <f t="shared" si="353"/>
        <v>4.5604133029498595</v>
      </c>
      <c r="AJ97">
        <f t="shared" si="354"/>
        <v>5.6061851620707461</v>
      </c>
      <c r="AK97">
        <f t="shared" si="355"/>
        <v>6.8891075422928942</v>
      </c>
      <c r="AL97">
        <f t="shared" si="356"/>
        <v>11.322835038974617</v>
      </c>
      <c r="AM97">
        <f t="shared" si="357"/>
        <v>50.013922060485498</v>
      </c>
    </row>
    <row r="98" spans="9:39">
      <c r="I98"/>
      <c r="J98" t="s">
        <v>429</v>
      </c>
      <c r="K98">
        <f t="shared" si="346"/>
        <v>10.760635888737159</v>
      </c>
      <c r="AC98">
        <f t="shared" si="347"/>
        <v>0.90229764998187401</v>
      </c>
      <c r="AD98">
        <f t="shared" si="348"/>
        <v>0.93601006790256469</v>
      </c>
      <c r="AE98">
        <f t="shared" si="349"/>
        <v>1.0014529365668425</v>
      </c>
      <c r="AF98">
        <f t="shared" si="350"/>
        <v>1.0207991214597465</v>
      </c>
      <c r="AG98">
        <f t="shared" si="351"/>
        <v>1.0570920476528678</v>
      </c>
      <c r="AH98">
        <f t="shared" si="352"/>
        <v>1.0823220829370936</v>
      </c>
      <c r="AI98">
        <f t="shared" si="353"/>
        <v>1.1210045181600272</v>
      </c>
      <c r="AJ98">
        <f t="shared" si="354"/>
        <v>1.1546802738570472</v>
      </c>
      <c r="AK98">
        <f t="shared" si="355"/>
        <v>1.1857327232422394</v>
      </c>
      <c r="AL98">
        <f t="shared" si="356"/>
        <v>1.2992444669768441</v>
      </c>
      <c r="AM98">
        <f t="shared" si="357"/>
        <v>10.760635888737159</v>
      </c>
    </row>
    <row r="99" spans="9:39">
      <c r="I99"/>
      <c r="J99" t="s">
        <v>430</v>
      </c>
      <c r="K99">
        <f t="shared" si="346"/>
        <v>744.67093991179274</v>
      </c>
      <c r="AC99">
        <f t="shared" si="347"/>
        <v>48.549019280955427</v>
      </c>
      <c r="AD99">
        <f t="shared" si="348"/>
        <v>49.423313429189875</v>
      </c>
      <c r="AE99">
        <f t="shared" si="349"/>
        <v>53.400373512033084</v>
      </c>
      <c r="AF99">
        <f t="shared" si="350"/>
        <v>57.724538088751046</v>
      </c>
      <c r="AG99">
        <f t="shared" si="351"/>
        <v>61.824358256091656</v>
      </c>
      <c r="AH99">
        <f t="shared" si="352"/>
        <v>66.923774073076558</v>
      </c>
      <c r="AI99">
        <f t="shared" si="353"/>
        <v>73.508226851597513</v>
      </c>
      <c r="AJ99">
        <f t="shared" si="354"/>
        <v>84.394123619958549</v>
      </c>
      <c r="AK99">
        <f t="shared" si="355"/>
        <v>100.83267529967003</v>
      </c>
      <c r="AL99">
        <f t="shared" si="356"/>
        <v>148.09053750046846</v>
      </c>
      <c r="AM99">
        <f t="shared" si="357"/>
        <v>744.67093991179274</v>
      </c>
    </row>
    <row r="100" spans="9:39">
      <c r="I100"/>
      <c r="J100"/>
    </row>
    <row r="101" spans="9:39">
      <c r="I101"/>
      <c r="J101"/>
    </row>
    <row r="102" spans="9:39">
      <c r="I102"/>
      <c r="J102"/>
      <c r="K102">
        <f t="shared" ref="K102" si="358">+K47</f>
        <v>0</v>
      </c>
      <c r="AC102">
        <f t="shared" ref="AC102:AM102" si="359">+SUM(AC82:AC101)</f>
        <v>82.563350540056462</v>
      </c>
      <c r="AD102">
        <f t="shared" si="359"/>
        <v>86.912942202011578</v>
      </c>
      <c r="AE102">
        <f t="shared" si="359"/>
        <v>95.615180727123047</v>
      </c>
      <c r="AF102">
        <f t="shared" si="359"/>
        <v>105.93380414714009</v>
      </c>
      <c r="AG102">
        <f t="shared" si="359"/>
        <v>113.09722124362739</v>
      </c>
      <c r="AH102">
        <f t="shared" si="359"/>
        <v>123.08378260281515</v>
      </c>
      <c r="AI102">
        <f t="shared" si="359"/>
        <v>133.32460633776827</v>
      </c>
      <c r="AJ102">
        <f t="shared" si="359"/>
        <v>154.41289796939486</v>
      </c>
      <c r="AK102">
        <f t="shared" si="359"/>
        <v>179.46495986947252</v>
      </c>
      <c r="AL102">
        <f t="shared" si="359"/>
        <v>259.15025604706915</v>
      </c>
      <c r="AM102">
        <f t="shared" si="359"/>
        <v>1333.5590016864785</v>
      </c>
    </row>
    <row r="103" spans="9:39">
      <c r="I103"/>
      <c r="J103"/>
    </row>
    <row r="104" spans="9:39">
      <c r="I104"/>
      <c r="J104"/>
      <c r="AC104">
        <f>+AC102/$AM$102</f>
        <v>6.1912034214941479E-2</v>
      </c>
      <c r="AD104">
        <f t="shared" ref="AD104:AM104" si="360">+AD102/$AM$102</f>
        <v>6.5173675924422969E-2</v>
      </c>
      <c r="AE104">
        <f t="shared" si="360"/>
        <v>7.1699250356530006E-2</v>
      </c>
      <c r="AF104">
        <f t="shared" si="360"/>
        <v>7.9436908313146593E-2</v>
      </c>
      <c r="AG104">
        <f t="shared" si="360"/>
        <v>8.4808561976335184E-2</v>
      </c>
      <c r="AH104">
        <f t="shared" si="360"/>
        <v>9.2297215531639679E-2</v>
      </c>
      <c r="AI104">
        <f t="shared" si="360"/>
        <v>9.9976533598558445E-2</v>
      </c>
      <c r="AJ104">
        <f t="shared" si="360"/>
        <v>0.1157900758602487</v>
      </c>
      <c r="AK104">
        <f t="shared" si="360"/>
        <v>0.13457594275357376</v>
      </c>
      <c r="AL104">
        <f t="shared" si="360"/>
        <v>0.19432980147060319</v>
      </c>
      <c r="AM104">
        <f t="shared" si="360"/>
        <v>1</v>
      </c>
    </row>
    <row r="105" spans="9:39">
      <c r="AC105">
        <f t="array" ref="AC105:AL105">+TRANSPOSE(J7:J16)</f>
        <v>6.1264052331842504E-2</v>
      </c>
      <c r="AD105">
        <v>6.5548845269819078E-2</v>
      </c>
      <c r="AE105">
        <v>7.2933279180586466E-2</v>
      </c>
      <c r="AF105">
        <v>8.0657191711142093E-2</v>
      </c>
      <c r="AG105">
        <v>8.6561157896265853E-2</v>
      </c>
      <c r="AH105">
        <v>9.4202430492520167E-2</v>
      </c>
      <c r="AI105">
        <v>0.10209747996743142</v>
      </c>
      <c r="AJ105">
        <v>0.11631642468097353</v>
      </c>
      <c r="AK105">
        <v>0.13360331830096925</v>
      </c>
      <c r="AL105">
        <v>0.18681582016844556</v>
      </c>
    </row>
    <row r="107" spans="9:39">
      <c r="J107" s="4" t="s">
        <v>434</v>
      </c>
    </row>
    <row r="108" spans="9:39">
      <c r="J108" s="4" t="s">
        <v>435</v>
      </c>
    </row>
    <row r="109" spans="9:39">
      <c r="J109" s="4" t="s">
        <v>436</v>
      </c>
    </row>
    <row r="110" spans="9:39">
      <c r="J110" s="4" t="s">
        <v>437</v>
      </c>
    </row>
  </sheetData>
  <conditionalFormatting sqref="I26:I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B98"/>
  <sheetViews>
    <sheetView topLeftCell="A4" zoomScale="70" zoomScaleNormal="70" workbookViewId="0">
      <selection activeCell="Q39" sqref="Q39"/>
    </sheetView>
  </sheetViews>
  <sheetFormatPr defaultRowHeight="14.45"/>
  <sheetData>
    <row r="2" spans="2:13">
      <c r="B2" t="s">
        <v>438</v>
      </c>
    </row>
    <row r="4" spans="2:13">
      <c r="B4" s="21"/>
      <c r="C4" t="s">
        <v>386</v>
      </c>
      <c r="D4" t="s">
        <v>388</v>
      </c>
      <c r="E4" t="s">
        <v>389</v>
      </c>
      <c r="F4" t="s">
        <v>390</v>
      </c>
      <c r="G4" t="s">
        <v>391</v>
      </c>
      <c r="H4" t="s">
        <v>392</v>
      </c>
      <c r="I4" t="s">
        <v>393</v>
      </c>
      <c r="J4" t="s">
        <v>394</v>
      </c>
      <c r="K4" t="s">
        <v>395</v>
      </c>
      <c r="L4" t="s">
        <v>396</v>
      </c>
      <c r="M4" t="s">
        <v>397</v>
      </c>
    </row>
    <row r="5" spans="2:13">
      <c r="B5" t="s">
        <v>401</v>
      </c>
      <c r="C5" s="30">
        <f>+main!AC82</f>
        <v>1.71546132432489</v>
      </c>
      <c r="D5" s="30">
        <f>+main!AD82</f>
        <v>2.0489037640507499</v>
      </c>
      <c r="E5" s="30">
        <f>+main!AE82</f>
        <v>2.5782232511359178</v>
      </c>
      <c r="F5" s="30">
        <f>+main!AF82</f>
        <v>2.9665564148915977</v>
      </c>
      <c r="G5" s="30">
        <f>+main!AG82</f>
        <v>3.2883595094903884</v>
      </c>
      <c r="H5" s="30">
        <f>+main!AH82</f>
        <v>3.554513002772997</v>
      </c>
      <c r="I5" s="30">
        <f>+main!AI82</f>
        <v>3.9382072574702849</v>
      </c>
      <c r="J5" s="30">
        <f>+main!AJ82</f>
        <v>4.1952563341411278</v>
      </c>
      <c r="K5" s="30">
        <f>+main!AK82</f>
        <v>4.4801683235508056</v>
      </c>
      <c r="L5" s="30">
        <f>+main!AL82</f>
        <v>5.0642570036564383</v>
      </c>
      <c r="M5" s="29">
        <f>+SUM(C5:L5)</f>
        <v>33.8299061854852</v>
      </c>
    </row>
    <row r="6" spans="2:13">
      <c r="B6" t="s">
        <v>402</v>
      </c>
      <c r="C6" s="30">
        <f>+main!AC83</f>
        <v>0.38185940088662346</v>
      </c>
      <c r="D6" s="30">
        <f>+main!AD83</f>
        <v>0.4075827355075512</v>
      </c>
      <c r="E6" s="30">
        <f>+main!AE83</f>
        <v>0.43456330285844968</v>
      </c>
      <c r="F6" s="30">
        <f>+main!AF83</f>
        <v>0.4462860543643305</v>
      </c>
      <c r="G6" s="30">
        <f>+main!AG83</f>
        <v>0.46982303846764334</v>
      </c>
      <c r="H6" s="30">
        <f>+main!AH83</f>
        <v>0.4982731832631111</v>
      </c>
      <c r="I6" s="30">
        <f>+main!AI83</f>
        <v>0.51461782615761598</v>
      </c>
      <c r="J6" s="30">
        <f>+main!AJ83</f>
        <v>0.53940932478451409</v>
      </c>
      <c r="K6" s="30">
        <f>+main!AK83</f>
        <v>0.59439968520858211</v>
      </c>
      <c r="L6" s="30">
        <f>+main!AL83</f>
        <v>0.72842713860153996</v>
      </c>
      <c r="M6" s="29">
        <f t="shared" ref="M6:M17" si="0">+SUM(C6:L6)</f>
        <v>5.0152416900999617</v>
      </c>
    </row>
    <row r="7" spans="2:13">
      <c r="B7" t="s">
        <v>404</v>
      </c>
      <c r="C7" s="30">
        <f>+main!AC84</f>
        <v>1.7524282370011046</v>
      </c>
      <c r="D7" s="30">
        <f>+main!AD84</f>
        <v>2.0006368113859305</v>
      </c>
      <c r="E7" s="30">
        <f>+main!AE84</f>
        <v>2.1726966471743983</v>
      </c>
      <c r="F7" s="30">
        <f>+main!AF84</f>
        <v>2.4946254620362645</v>
      </c>
      <c r="G7" s="30">
        <f>+main!AG84</f>
        <v>2.5800772613409593</v>
      </c>
      <c r="H7" s="30">
        <f>+main!AH84</f>
        <v>2.8954354876927328</v>
      </c>
      <c r="I7" s="30">
        <f>+main!AI84</f>
        <v>3.0553370678094169</v>
      </c>
      <c r="J7" s="30">
        <f>+main!AJ84</f>
        <v>3.4921273809588662</v>
      </c>
      <c r="K7" s="30">
        <f>+main!AK84</f>
        <v>3.9553929453677257</v>
      </c>
      <c r="L7" s="30">
        <f>+main!AL84</f>
        <v>5.3722063832306874</v>
      </c>
      <c r="M7" s="29">
        <f t="shared" si="0"/>
        <v>29.770963683998087</v>
      </c>
    </row>
    <row r="8" spans="2:13">
      <c r="B8" t="s">
        <v>406</v>
      </c>
      <c r="C8" s="30">
        <f>+main!AC85</f>
        <v>0.25693114997992611</v>
      </c>
      <c r="D8" s="30">
        <f>+main!AD85</f>
        <v>0.32404814100226303</v>
      </c>
      <c r="E8" s="30">
        <f>+main!AE85</f>
        <v>0.40042989181484084</v>
      </c>
      <c r="F8" s="30">
        <f>+main!AF85</f>
        <v>0.48534395815693759</v>
      </c>
      <c r="G8" s="30">
        <f>+main!AG85</f>
        <v>0.54612721698002598</v>
      </c>
      <c r="H8" s="30">
        <f>+main!AH85</f>
        <v>0.58475807610932806</v>
      </c>
      <c r="I8" s="30">
        <f>+main!AI85</f>
        <v>0.62117774116537106</v>
      </c>
      <c r="J8" s="30">
        <f>+main!AJ85</f>
        <v>0.67621805112970335</v>
      </c>
      <c r="K8" s="30">
        <f>+main!AK85</f>
        <v>0.78616228007137234</v>
      </c>
      <c r="L8" s="30">
        <f>+main!AL85</f>
        <v>0.95649416724007941</v>
      </c>
      <c r="M8" s="29">
        <f t="shared" si="0"/>
        <v>5.637690673649848</v>
      </c>
    </row>
    <row r="9" spans="2:13">
      <c r="B9" t="s">
        <v>408</v>
      </c>
      <c r="C9" s="30">
        <f>+main!AC86</f>
        <v>8.1507101139804907E-4</v>
      </c>
      <c r="D9" s="30">
        <f>+main!AD86</f>
        <v>1.0914393049343697E-3</v>
      </c>
      <c r="E9" s="30">
        <f>+main!AE86</f>
        <v>1.3318421828023633E-3</v>
      </c>
      <c r="F9" s="30">
        <f>+main!AF86</f>
        <v>1.7044564237098316E-3</v>
      </c>
      <c r="G9" s="30">
        <f>+main!AG86</f>
        <v>2.1839355575994212E-3</v>
      </c>
      <c r="H9" s="30">
        <f>+main!AH86</f>
        <v>2.3873788515957903E-3</v>
      </c>
      <c r="I9" s="30">
        <f>+main!AI86</f>
        <v>2.3979806905589647E-3</v>
      </c>
      <c r="J9" s="30">
        <f>+main!AJ86</f>
        <v>2.5238582383862681E-3</v>
      </c>
      <c r="K9" s="30">
        <f>+main!AK86</f>
        <v>3.0189237256489938E-3</v>
      </c>
      <c r="L9" s="30">
        <f>+main!AL86</f>
        <v>3.4990453957452492E-3</v>
      </c>
      <c r="M9" s="29">
        <f t="shared" si="0"/>
        <v>2.09539313823793E-2</v>
      </c>
    </row>
    <row r="10" spans="2:13">
      <c r="B10" t="s">
        <v>410</v>
      </c>
      <c r="C10" s="30">
        <f>+main!AC87</f>
        <v>1.5794166635799705</v>
      </c>
      <c r="D10" s="30">
        <f>+main!AD87</f>
        <v>1.8304278508588838</v>
      </c>
      <c r="E10" s="30">
        <f>+main!AE87</f>
        <v>2.733706915445191</v>
      </c>
      <c r="F10" s="30">
        <f>+main!AF87</f>
        <v>4.3861935268832832</v>
      </c>
      <c r="G10" s="30">
        <f>+main!AG87</f>
        <v>4.7023819688347599</v>
      </c>
      <c r="H10" s="30">
        <f>+main!AH87</f>
        <v>5.6054722032807645</v>
      </c>
      <c r="I10" s="30">
        <f>+main!AI87</f>
        <v>5.7690034236025802</v>
      </c>
      <c r="J10" s="30">
        <f>+main!AJ87</f>
        <v>9.7174670464186246</v>
      </c>
      <c r="K10" s="30">
        <f>+main!AK87</f>
        <v>11.96927678573585</v>
      </c>
      <c r="L10" s="30">
        <f>+main!AL87</f>
        <v>23.159573536553967</v>
      </c>
      <c r="M10" s="29">
        <f t="shared" si="0"/>
        <v>71.452919921193882</v>
      </c>
    </row>
    <row r="11" spans="2:13">
      <c r="B11" t="s">
        <v>411</v>
      </c>
      <c r="C11" s="30">
        <f>+main!AC88</f>
        <v>1.8873384768119956</v>
      </c>
      <c r="D11" s="30">
        <f>+main!AD88</f>
        <v>1.8195891947799532</v>
      </c>
      <c r="E11" s="30">
        <f>+main!AE88</f>
        <v>1.8557142447302453</v>
      </c>
      <c r="F11" s="30">
        <f>+main!AF88</f>
        <v>1.7992690658189276</v>
      </c>
      <c r="G11" s="30">
        <f>+main!AG88</f>
        <v>1.8734505196274354</v>
      </c>
      <c r="H11" s="30">
        <f>+main!AH88</f>
        <v>1.9149455526404715</v>
      </c>
      <c r="I11" s="30">
        <f>+main!AI88</f>
        <v>1.9607719864589028</v>
      </c>
      <c r="J11" s="30">
        <f>+main!AJ88</f>
        <v>2.0343066594025228</v>
      </c>
      <c r="K11" s="30">
        <f>+main!AK88</f>
        <v>2.1194950601803737</v>
      </c>
      <c r="L11" s="30">
        <f>+main!AL88</f>
        <v>2.3536599466138171</v>
      </c>
      <c r="M11" s="29">
        <f t="shared" si="0"/>
        <v>19.618540707064646</v>
      </c>
    </row>
    <row r="12" spans="2:13">
      <c r="B12" t="s">
        <v>413</v>
      </c>
      <c r="C12" s="30">
        <f>+main!AC89</f>
        <v>1.5993690540901682E-2</v>
      </c>
      <c r="D12" s="30">
        <f>+main!AD89</f>
        <v>1.3332435118936397E-2</v>
      </c>
      <c r="E12" s="30">
        <f>+main!AE89</f>
        <v>1.2360937344430591E-2</v>
      </c>
      <c r="F12" s="30">
        <f>+main!AF89</f>
        <v>1.1800212274995569E-2</v>
      </c>
      <c r="G12" s="30">
        <f>+main!AG89</f>
        <v>1.3785206087885934E-2</v>
      </c>
      <c r="H12" s="30">
        <f>+main!AH89</f>
        <v>1.4511417652434843E-2</v>
      </c>
      <c r="I12" s="30">
        <f>+main!AI89</f>
        <v>1.5224204438700813E-2</v>
      </c>
      <c r="J12" s="30">
        <f>+main!AJ89</f>
        <v>1.5701937704288078E-2</v>
      </c>
      <c r="K12" s="30">
        <f>+main!AK89</f>
        <v>1.5155748996580565E-2</v>
      </c>
      <c r="L12" s="30">
        <f>+main!AL89</f>
        <v>1.5705214337413727E-2</v>
      </c>
      <c r="M12" s="29">
        <f t="shared" si="0"/>
        <v>0.14357100449656821</v>
      </c>
    </row>
    <row r="13" spans="2:13">
      <c r="B13" s="4" t="s">
        <v>414</v>
      </c>
      <c r="C13" s="30">
        <f>+main!AC90</f>
        <v>2.1533638573073008E-3</v>
      </c>
      <c r="D13" s="30">
        <f>+main!AD90</f>
        <v>2.1265448701115902E-3</v>
      </c>
      <c r="E13" s="30">
        <f>+main!AE90</f>
        <v>2.3889576495133577E-3</v>
      </c>
      <c r="F13" s="30">
        <f>+main!AF90</f>
        <v>2.7438937471092818E-3</v>
      </c>
      <c r="G13" s="30">
        <f>+main!AG90</f>
        <v>2.8886254965335974E-3</v>
      </c>
      <c r="H13" s="30">
        <f>+main!AH90</f>
        <v>2.9526714157719534E-3</v>
      </c>
      <c r="I13" s="30">
        <f>+main!AI90</f>
        <v>3.3372668212521095E-3</v>
      </c>
      <c r="J13" s="30">
        <f>+main!AJ90</f>
        <v>3.3838863463640026E-3</v>
      </c>
      <c r="K13" s="30">
        <f>+main!AK90</f>
        <v>3.7136496276058474E-3</v>
      </c>
      <c r="L13" s="30">
        <f>+main!AL90</f>
        <v>4.3405383459701611E-3</v>
      </c>
      <c r="M13" s="29">
        <f t="shared" si="0"/>
        <v>3.0029398177539204E-2</v>
      </c>
    </row>
    <row r="14" spans="2:13">
      <c r="B14" t="s">
        <v>416</v>
      </c>
      <c r="C14" s="30">
        <f>+main!AC91</f>
        <v>2.2667020580005222</v>
      </c>
      <c r="D14" s="30">
        <f>+main!AD91</f>
        <v>2.670635639449404</v>
      </c>
      <c r="E14" s="30">
        <f>+main!AE91</f>
        <v>3.0079038442128074</v>
      </c>
      <c r="F14" s="30">
        <f>+main!AF91</f>
        <v>3.4316023833851275</v>
      </c>
      <c r="G14" s="30">
        <f>+main!AG91</f>
        <v>3.6984224549603266</v>
      </c>
      <c r="H14" s="30">
        <f>+main!AH91</f>
        <v>4.127473955540192</v>
      </c>
      <c r="I14" s="30">
        <f>+main!AI91</f>
        <v>4.453628118359088</v>
      </c>
      <c r="J14" s="30">
        <f>+main!AJ91</f>
        <v>4.8759291702568142</v>
      </c>
      <c r="K14" s="30">
        <f>+main!AK91</f>
        <v>5.2220432371675356</v>
      </c>
      <c r="L14" s="30">
        <f>+main!AL91</f>
        <v>6.2952589285815659</v>
      </c>
      <c r="M14" s="29">
        <f t="shared" si="0"/>
        <v>40.049599789913387</v>
      </c>
    </row>
    <row r="15" spans="2:13">
      <c r="B15" t="s">
        <v>418</v>
      </c>
      <c r="C15" s="30">
        <f>+main!AC92</f>
        <v>1.5402027775179584E-4</v>
      </c>
      <c r="D15" s="30">
        <f>+main!AD92</f>
        <v>2.0624434257191762E-4</v>
      </c>
      <c r="E15" s="30">
        <f>+main!AE92</f>
        <v>2.5167218567242132E-4</v>
      </c>
      <c r="F15" s="30">
        <f>+main!AF92</f>
        <v>3.2208341129116158E-4</v>
      </c>
      <c r="G15" s="30">
        <f>+main!AG92</f>
        <v>4.1268841176982524E-4</v>
      </c>
      <c r="H15" s="30">
        <f>+main!AH92</f>
        <v>4.5113216968769643E-4</v>
      </c>
      <c r="I15" s="30">
        <f>+main!AI92</f>
        <v>4.5313555118323893E-4</v>
      </c>
      <c r="J15" s="30">
        <f>+main!AJ92</f>
        <v>4.7692206132524665E-4</v>
      </c>
      <c r="K15" s="30">
        <f>+main!AK92</f>
        <v>5.7047234441376577E-4</v>
      </c>
      <c r="L15" s="30">
        <f>+main!AL92</f>
        <v>6.6119876204950216E-4</v>
      </c>
      <c r="M15" s="29">
        <f t="shared" si="0"/>
        <v>3.9595695177165723E-3</v>
      </c>
    </row>
    <row r="16" spans="2:13">
      <c r="B16" t="s">
        <v>420</v>
      </c>
      <c r="C16" s="30">
        <f>+main!AC93</f>
        <v>1.7266032574379102</v>
      </c>
      <c r="D16" s="30">
        <f>+main!AD93</f>
        <v>2.1425860384863933</v>
      </c>
      <c r="E16" s="30">
        <f>+main!AE93</f>
        <v>2.8630937579361837</v>
      </c>
      <c r="F16" s="30">
        <f>+main!AF93</f>
        <v>3.6896477904049751</v>
      </c>
      <c r="G16" s="30">
        <f>+main!AG93</f>
        <v>4.0122248507678027</v>
      </c>
      <c r="H16" s="30">
        <f>+main!AH93</f>
        <v>4.6121581137834129</v>
      </c>
      <c r="I16" s="30">
        <f>+main!AI93</f>
        <v>4.98689466086749</v>
      </c>
      <c r="J16" s="30">
        <f>+main!AJ93</f>
        <v>6.8050383823911194</v>
      </c>
      <c r="K16" s="30">
        <f>+main!AK93</f>
        <v>8.0598563244279315</v>
      </c>
      <c r="L16" s="30">
        <f>+main!AL93</f>
        <v>13.240056827230354</v>
      </c>
      <c r="M16" s="29">
        <f t="shared" si="0"/>
        <v>52.138160003733574</v>
      </c>
    </row>
    <row r="17" spans="2:21">
      <c r="B17" t="s">
        <v>421</v>
      </c>
      <c r="C17" s="30">
        <f>+main!AC94</f>
        <v>12.772694833971435</v>
      </c>
      <c r="D17" s="30">
        <f>+main!AD94</f>
        <v>13.137519942568867</v>
      </c>
      <c r="E17" s="30">
        <f>+main!AE94</f>
        <v>13.993828331699689</v>
      </c>
      <c r="F17" s="30">
        <f>+main!AF94</f>
        <v>14.311027974209177</v>
      </c>
      <c r="G17" s="30">
        <f>+main!AG94</f>
        <v>14.951487979897268</v>
      </c>
      <c r="H17" s="30">
        <f>+main!AH94</f>
        <v>15.334967123738892</v>
      </c>
      <c r="I17" s="30">
        <f>+main!AI94</f>
        <v>15.959488730942613</v>
      </c>
      <c r="J17" s="30">
        <f>+main!AJ94</f>
        <v>16.518470152880653</v>
      </c>
      <c r="K17" s="30">
        <f>+main!AK94</f>
        <v>16.802574139167461</v>
      </c>
      <c r="L17" s="30">
        <f>+main!AL94</f>
        <v>18.706525703284363</v>
      </c>
      <c r="M17" s="29">
        <f t="shared" si="0"/>
        <v>152.48858491236044</v>
      </c>
    </row>
    <row r="18" spans="2:21">
      <c r="B18" t="s">
        <v>423</v>
      </c>
      <c r="C18" s="30">
        <f>+main!AC95</f>
        <v>5.5885136110359266</v>
      </c>
      <c r="D18" s="30">
        <f>+main!AD95</f>
        <v>6.6422065120333089</v>
      </c>
      <c r="E18" s="30">
        <f>+main!AE95</f>
        <v>7.738983489283906</v>
      </c>
      <c r="F18" s="30">
        <f>+main!AF95</f>
        <v>9.1337940522703907</v>
      </c>
      <c r="G18" s="30">
        <f>+main!AG95</f>
        <v>9.9666914021565649</v>
      </c>
      <c r="H18" s="30">
        <f>+main!AH95</f>
        <v>11.164688814272591</v>
      </c>
      <c r="I18" s="30">
        <f>+main!AI95</f>
        <v>12.478434139510501</v>
      </c>
      <c r="J18" s="30">
        <f>+main!AJ95</f>
        <v>13.922980874151536</v>
      </c>
      <c r="K18" s="30">
        <f>+main!AK95</f>
        <v>15.948757356622204</v>
      </c>
      <c r="L18" s="30">
        <f>+main!AL95</f>
        <v>21.831338117121437</v>
      </c>
      <c r="M18" s="29">
        <f t="shared" ref="M18:M22" si="1">+SUM(C18:L18)</f>
        <v>114.41638836845836</v>
      </c>
    </row>
    <row r="19" spans="2:21">
      <c r="B19" t="s">
        <v>425</v>
      </c>
      <c r="C19" s="30">
        <f>+main!AC96</f>
        <v>0.12149713223403355</v>
      </c>
      <c r="D19" s="30">
        <f>+main!AD96</f>
        <v>0.14065344250291462</v>
      </c>
      <c r="E19" s="30">
        <f>+main!AE96</f>
        <v>0.17787187270576854</v>
      </c>
      <c r="F19" s="30">
        <f>+main!AF96</f>
        <v>0.25751346222876914</v>
      </c>
      <c r="G19" s="30">
        <f>+main!AG96</f>
        <v>0.33218411601769099</v>
      </c>
      <c r="H19" s="30">
        <f>+main!AH96</f>
        <v>0.33017223861756284</v>
      </c>
      <c r="I19" s="30">
        <f>+main!AI96</f>
        <v>0.37598812521531683</v>
      </c>
      <c r="J19" s="30">
        <f>+main!AJ96</f>
        <v>0.45861893264267084</v>
      </c>
      <c r="K19" s="30">
        <f>+main!AK96</f>
        <v>0.59685937207328421</v>
      </c>
      <c r="L19" s="30">
        <f>+main!AL96</f>
        <v>0.70563529169382988</v>
      </c>
      <c r="M19" s="29">
        <f t="shared" si="1"/>
        <v>3.4969939859318417</v>
      </c>
    </row>
    <row r="20" spans="2:21">
      <c r="B20" t="s">
        <v>427</v>
      </c>
      <c r="C20" s="30">
        <f>+main!AC97</f>
        <v>3.043471318167458</v>
      </c>
      <c r="D20" s="30">
        <f>+main!AD97</f>
        <v>3.3720719686563578</v>
      </c>
      <c r="E20" s="30">
        <f>+main!AE97</f>
        <v>3.2400053201633057</v>
      </c>
      <c r="F20" s="30">
        <f>+main!AF97</f>
        <v>3.7700361464224157</v>
      </c>
      <c r="G20" s="30">
        <f>+main!AG97</f>
        <v>3.7752701657882244</v>
      </c>
      <c r="H20" s="30">
        <f>+main!AH97</f>
        <v>4.4345260949999599</v>
      </c>
      <c r="I20" s="30">
        <f>+main!AI97</f>
        <v>4.5604133029498595</v>
      </c>
      <c r="J20" s="30">
        <f>+main!AJ97</f>
        <v>5.6061851620707461</v>
      </c>
      <c r="K20" s="30">
        <f>+main!AK97</f>
        <v>6.8891075422928942</v>
      </c>
      <c r="L20" s="30">
        <f>+main!AL97</f>
        <v>11.322835038974617</v>
      </c>
      <c r="M20" s="29">
        <f t="shared" si="1"/>
        <v>50.013922060485839</v>
      </c>
    </row>
    <row r="21" spans="2:21">
      <c r="B21" t="s">
        <v>429</v>
      </c>
      <c r="C21" s="30">
        <f>+main!AC98</f>
        <v>0.90229764998187401</v>
      </c>
      <c r="D21" s="30">
        <f>+main!AD98</f>
        <v>0.93601006790256469</v>
      </c>
      <c r="E21" s="30">
        <f>+main!AE98</f>
        <v>1.0014529365668425</v>
      </c>
      <c r="F21" s="30">
        <f>+main!AF98</f>
        <v>1.0207991214597465</v>
      </c>
      <c r="G21" s="30">
        <f>+main!AG98</f>
        <v>1.0570920476528678</v>
      </c>
      <c r="H21" s="30">
        <f>+main!AH98</f>
        <v>1.0823220829370936</v>
      </c>
      <c r="I21" s="30">
        <f>+main!AI98</f>
        <v>1.1210045181600272</v>
      </c>
      <c r="J21" s="30">
        <f>+main!AJ98</f>
        <v>1.1546802738570472</v>
      </c>
      <c r="K21" s="30">
        <f>+main!AK98</f>
        <v>1.1857327232422394</v>
      </c>
      <c r="L21" s="30">
        <f>+main!AL98</f>
        <v>1.2992444669768441</v>
      </c>
      <c r="M21" s="29">
        <f t="shared" si="1"/>
        <v>10.760635888737147</v>
      </c>
    </row>
    <row r="22" spans="2:21">
      <c r="B22" t="s">
        <v>430</v>
      </c>
      <c r="C22" s="30">
        <f>+main!AC99</f>
        <v>48.549019280955427</v>
      </c>
      <c r="D22" s="30">
        <f>+main!AD99</f>
        <v>49.423313429189875</v>
      </c>
      <c r="E22" s="30">
        <f>+main!AE99</f>
        <v>53.400373512033084</v>
      </c>
      <c r="F22" s="30">
        <f>+main!AF99</f>
        <v>57.724538088751046</v>
      </c>
      <c r="G22" s="30">
        <f>+main!AG99</f>
        <v>61.824358256091656</v>
      </c>
      <c r="H22" s="30">
        <f>+main!AH99</f>
        <v>66.923774073076558</v>
      </c>
      <c r="I22" s="30">
        <f>+main!AI99</f>
        <v>73.508226851597513</v>
      </c>
      <c r="J22" s="30">
        <f>+main!AJ99</f>
        <v>84.394123619958549</v>
      </c>
      <c r="K22" s="30">
        <f>+main!AK99</f>
        <v>100.83267529967003</v>
      </c>
      <c r="L22" s="30">
        <f>+main!AL99</f>
        <v>148.09053750046846</v>
      </c>
      <c r="M22" s="29">
        <f t="shared" si="1"/>
        <v>744.67093991179229</v>
      </c>
    </row>
    <row r="23" spans="2:21">
      <c r="B23" s="29" t="s">
        <v>397</v>
      </c>
      <c r="C23" s="29">
        <f>+SUM(C5:C22)</f>
        <v>82.563350540056462</v>
      </c>
      <c r="D23" s="29">
        <f t="shared" ref="D23:L23" si="2">+SUM(D5:D22)</f>
        <v>86.912942202011578</v>
      </c>
      <c r="E23" s="29">
        <f t="shared" si="2"/>
        <v>95.615180727123047</v>
      </c>
      <c r="F23" s="29">
        <f t="shared" si="2"/>
        <v>105.93380414714009</v>
      </c>
      <c r="G23" s="29">
        <f t="shared" si="2"/>
        <v>113.09722124362739</v>
      </c>
      <c r="H23" s="29">
        <f t="shared" si="2"/>
        <v>123.08378260281515</v>
      </c>
      <c r="I23" s="29">
        <f t="shared" si="2"/>
        <v>133.32460633776827</v>
      </c>
      <c r="J23" s="29">
        <f t="shared" si="2"/>
        <v>154.41289796939486</v>
      </c>
      <c r="K23" s="29">
        <f t="shared" si="2"/>
        <v>179.46495986947252</v>
      </c>
      <c r="L23" s="29">
        <f t="shared" si="2"/>
        <v>259.15025604706915</v>
      </c>
    </row>
    <row r="26" spans="2:21">
      <c r="B26" t="s">
        <v>439</v>
      </c>
    </row>
    <row r="28" spans="2:21">
      <c r="B28" s="21"/>
      <c r="C28" t="s">
        <v>386</v>
      </c>
      <c r="D28" t="s">
        <v>388</v>
      </c>
      <c r="E28" t="s">
        <v>389</v>
      </c>
      <c r="F28" t="s">
        <v>390</v>
      </c>
      <c r="G28" t="s">
        <v>391</v>
      </c>
      <c r="H28" t="s">
        <v>392</v>
      </c>
      <c r="I28" t="s">
        <v>393</v>
      </c>
      <c r="J28" t="s">
        <v>394</v>
      </c>
      <c r="K28" t="s">
        <v>395</v>
      </c>
      <c r="L28" t="s">
        <v>396</v>
      </c>
      <c r="M28" t="s">
        <v>397</v>
      </c>
      <c r="N28" t="s">
        <v>440</v>
      </c>
      <c r="T28" s="35" t="s">
        <v>441</v>
      </c>
      <c r="U28" s="31">
        <v>20</v>
      </c>
    </row>
    <row r="29" spans="2:21">
      <c r="B29" t="str">
        <f>+B5</f>
        <v>oil</v>
      </c>
      <c r="C29" s="30">
        <f t="shared" ref="C29:L29" si="3">IF($M$54="k",C54*C$47,IF($M$54="d",$M29*C54,C5))</f>
        <v>1.6932609606171134</v>
      </c>
      <c r="D29" s="30">
        <f t="shared" si="3"/>
        <v>2.05550089618262</v>
      </c>
      <c r="E29" s="30">
        <f t="shared" si="3"/>
        <v>2.615803435121379</v>
      </c>
      <c r="F29" s="30">
        <f t="shared" si="3"/>
        <v>3.0038631004460692</v>
      </c>
      <c r="G29" s="30">
        <f t="shared" si="3"/>
        <v>3.3470735441300721</v>
      </c>
      <c r="H29" s="30">
        <f t="shared" si="3"/>
        <v>3.6176378095598092</v>
      </c>
      <c r="I29" s="30">
        <f t="shared" si="3"/>
        <v>4.0103718276424933</v>
      </c>
      <c r="J29" s="30">
        <f t="shared" si="3"/>
        <v>4.2014013242645447</v>
      </c>
      <c r="K29" s="30">
        <f t="shared" si="3"/>
        <v>4.4336375686105338</v>
      </c>
      <c r="L29" s="30">
        <f t="shared" si="3"/>
        <v>4.851355718910769</v>
      </c>
      <c r="M29" s="29">
        <f>+main!K82</f>
        <v>33.829906185485406</v>
      </c>
      <c r="N29">
        <f>+SUM(C29:L29)</f>
        <v>33.829906185485406</v>
      </c>
      <c r="O29">
        <f>+N29-M29</f>
        <v>0</v>
      </c>
      <c r="T29" s="35" t="s">
        <v>442</v>
      </c>
      <c r="U29" s="31"/>
    </row>
    <row r="30" spans="2:21">
      <c r="B30" t="str">
        <f t="shared" ref="B30:B46" si="4">+B6</f>
        <v>gas</v>
      </c>
      <c r="C30" s="30">
        <f t="shared" ref="C30:L30" si="5">IF($M$54="k",C55*C$47,IF($M$54="d",$M30*C55,C6))</f>
        <v>0.37699442543269629</v>
      </c>
      <c r="D30" s="30">
        <f t="shared" si="5"/>
        <v>0.40897839586740792</v>
      </c>
      <c r="E30" s="30">
        <f t="shared" si="5"/>
        <v>0.44098732946267621</v>
      </c>
      <c r="F30" s="30">
        <f t="shared" si="5"/>
        <v>0.45199051127159257</v>
      </c>
      <c r="G30" s="30">
        <f t="shared" si="5"/>
        <v>0.47830921674544147</v>
      </c>
      <c r="H30" s="30">
        <f t="shared" si="5"/>
        <v>0.5072253708594201</v>
      </c>
      <c r="I30" s="30">
        <f t="shared" si="5"/>
        <v>0.52415456885070832</v>
      </c>
      <c r="J30" s="30">
        <f t="shared" si="5"/>
        <v>0.54030948716696625</v>
      </c>
      <c r="K30" s="30">
        <f t="shared" si="5"/>
        <v>0.58834613573185457</v>
      </c>
      <c r="L30" s="30">
        <f t="shared" si="5"/>
        <v>0.69794624871121613</v>
      </c>
      <c r="M30" s="29">
        <f>+main!K83</f>
        <v>5.0152416900999803</v>
      </c>
      <c r="N30">
        <f t="shared" ref="N30:N46" si="6">+SUM(C30:L30)</f>
        <v>5.0152416900999794</v>
      </c>
      <c r="O30">
        <f t="shared" ref="O30:O46" si="7">+N30-M30</f>
        <v>0</v>
      </c>
    </row>
    <row r="31" spans="2:21">
      <c r="B31" t="str">
        <f t="shared" si="4"/>
        <v>ppp</v>
      </c>
      <c r="C31" s="30">
        <f t="shared" ref="C31:L31" si="8">IF($M$54="k",C56*C$47,IF($M$54="d",$M31*C56,C7))</f>
        <v>1.7333321441593352</v>
      </c>
      <c r="D31" s="30">
        <f t="shared" si="8"/>
        <v>2.0112356104074318</v>
      </c>
      <c r="E31" s="30">
        <f t="shared" si="8"/>
        <v>2.2089315768618141</v>
      </c>
      <c r="F31" s="30">
        <f t="shared" si="8"/>
        <v>2.5312291272260468</v>
      </c>
      <c r="G31" s="30">
        <f t="shared" si="8"/>
        <v>2.6315841295681697</v>
      </c>
      <c r="H31" s="30">
        <f t="shared" si="8"/>
        <v>2.9529592510388381</v>
      </c>
      <c r="I31" s="30">
        <f t="shared" si="8"/>
        <v>3.1177679325232011</v>
      </c>
      <c r="J31" s="30">
        <f t="shared" si="8"/>
        <v>3.5044859839071467</v>
      </c>
      <c r="K31" s="30">
        <f t="shared" si="8"/>
        <v>3.922419833546869</v>
      </c>
      <c r="L31" s="30">
        <f t="shared" si="8"/>
        <v>5.1570180947595166</v>
      </c>
      <c r="M31" s="29">
        <f>+main!K84</f>
        <v>29.770963683998367</v>
      </c>
      <c r="N31">
        <f t="shared" si="6"/>
        <v>29.770963683998367</v>
      </c>
      <c r="O31">
        <f t="shared" si="7"/>
        <v>0</v>
      </c>
    </row>
    <row r="32" spans="2:21">
      <c r="B32" t="str">
        <f t="shared" si="4"/>
        <v>nmm</v>
      </c>
      <c r="C32" s="30">
        <f t="shared" ref="C32:L32" si="9">IF($M$54="k",C57*C$47,IF($M$54="d",$M32*C57,C8))</f>
        <v>0.25388570632819724</v>
      </c>
      <c r="D32" s="30">
        <f t="shared" si="9"/>
        <v>0.32544992095576059</v>
      </c>
      <c r="E32" s="30">
        <f t="shared" si="9"/>
        <v>0.40671444833315773</v>
      </c>
      <c r="F32" s="30">
        <f t="shared" si="9"/>
        <v>0.49198932288995506</v>
      </c>
      <c r="G32" s="30">
        <f t="shared" si="9"/>
        <v>0.55649121106886557</v>
      </c>
      <c r="H32" s="30">
        <f t="shared" si="9"/>
        <v>0.59579894688388524</v>
      </c>
      <c r="I32" s="30">
        <f t="shared" si="9"/>
        <v>0.63325770637224266</v>
      </c>
      <c r="J32" s="30">
        <f t="shared" si="9"/>
        <v>0.67795513080089864</v>
      </c>
      <c r="K32" s="30">
        <f t="shared" si="9"/>
        <v>0.77885495262797333</v>
      </c>
      <c r="L32" s="30">
        <f t="shared" si="9"/>
        <v>0.91729332738888181</v>
      </c>
      <c r="M32" s="29">
        <f>+main!K85</f>
        <v>5.6376906736498196</v>
      </c>
      <c r="N32">
        <f t="shared" si="6"/>
        <v>5.6376906736498187</v>
      </c>
      <c r="O32">
        <f t="shared" si="7"/>
        <v>0</v>
      </c>
    </row>
    <row r="33" spans="2:15">
      <c r="B33" t="str">
        <f t="shared" si="4"/>
        <v>nfm</v>
      </c>
      <c r="C33" s="30">
        <f t="shared" ref="C33:L33" si="10">IF($M$54="k",C58*C$47,IF($M$54="d",$M33*C58,C9))</f>
        <v>8.0512270469736472E-4</v>
      </c>
      <c r="D33" s="30">
        <f t="shared" si="10"/>
        <v>1.0957698887014964E-3</v>
      </c>
      <c r="E33" s="30">
        <f t="shared" si="10"/>
        <v>1.3522625271721006E-3</v>
      </c>
      <c r="F33" s="30">
        <f t="shared" si="10"/>
        <v>1.7271779665997914E-3</v>
      </c>
      <c r="G33" s="30">
        <f t="shared" si="10"/>
        <v>2.2245872547177756E-3</v>
      </c>
      <c r="H33" s="30">
        <f t="shared" si="10"/>
        <v>2.4315879440678576E-3</v>
      </c>
      <c r="I33" s="30">
        <f t="shared" si="10"/>
        <v>2.4437423575989496E-3</v>
      </c>
      <c r="J33" s="30">
        <f t="shared" si="10"/>
        <v>2.5294394405588334E-3</v>
      </c>
      <c r="K33" s="30">
        <f t="shared" si="10"/>
        <v>2.9897967138183758E-3</v>
      </c>
      <c r="L33" s="30">
        <f t="shared" si="10"/>
        <v>3.3544445844467265E-3</v>
      </c>
      <c r="M33" s="29">
        <f>+main!K86</f>
        <v>2.0953931382379269E-2</v>
      </c>
      <c r="N33">
        <f t="shared" si="6"/>
        <v>2.0953931382379269E-2</v>
      </c>
      <c r="O33">
        <f t="shared" si="7"/>
        <v>0</v>
      </c>
    </row>
    <row r="34" spans="2:15">
      <c r="B34" t="str">
        <f t="shared" si="4"/>
        <v>mvh</v>
      </c>
      <c r="C34" s="30">
        <f t="shared" ref="C34:L34" si="11">IF($M$54="k",C59*C$47,IF($M$54="d",$M34*C59,C10))</f>
        <v>1.57471290764021</v>
      </c>
      <c r="D34" s="30">
        <f t="shared" si="11"/>
        <v>1.8548569969290682</v>
      </c>
      <c r="E34" s="30">
        <f t="shared" si="11"/>
        <v>2.8015491352957804</v>
      </c>
      <c r="F34" s="30">
        <f t="shared" si="11"/>
        <v>4.4861833711748211</v>
      </c>
      <c r="G34" s="30">
        <f t="shared" si="11"/>
        <v>4.8346559515283278</v>
      </c>
      <c r="H34" s="30">
        <f t="shared" si="11"/>
        <v>5.7626054731469392</v>
      </c>
      <c r="I34" s="30">
        <f t="shared" si="11"/>
        <v>5.9340141360359961</v>
      </c>
      <c r="J34" s="30">
        <f t="shared" si="11"/>
        <v>9.8299305627417617</v>
      </c>
      <c r="K34" s="30">
        <f t="shared" si="11"/>
        <v>11.964525363194069</v>
      </c>
      <c r="L34" s="30">
        <f t="shared" si="11"/>
        <v>22.409886023506942</v>
      </c>
      <c r="M34" s="29">
        <f>+main!K87</f>
        <v>71.45291992119391</v>
      </c>
      <c r="N34">
        <f t="shared" ref="N34:N38" si="12">+SUM(C34:L34)</f>
        <v>71.452919921193924</v>
      </c>
      <c r="O34">
        <f t="shared" ref="O34:O38" si="13">+N34-M34</f>
        <v>0</v>
      </c>
    </row>
    <row r="35" spans="2:15">
      <c r="B35" t="str">
        <f t="shared" si="4"/>
        <v>ele</v>
      </c>
      <c r="C35" s="30">
        <f t="shared" ref="C35:L35" si="14">IF($M$54="k",C60*C$47,IF($M$54="d",$M35*C60,C11))</f>
        <v>1.86134670684868</v>
      </c>
      <c r="D35" s="30">
        <f t="shared" si="14"/>
        <v>1.8239124020922812</v>
      </c>
      <c r="E35" s="30">
        <f t="shared" si="14"/>
        <v>1.881179353570068</v>
      </c>
      <c r="F35" s="30">
        <f t="shared" si="14"/>
        <v>1.8203636500895095</v>
      </c>
      <c r="G35" s="30">
        <f t="shared" si="14"/>
        <v>1.905297104328521</v>
      </c>
      <c r="H35" s="30">
        <f t="shared" si="14"/>
        <v>1.9473137215289842</v>
      </c>
      <c r="I35" s="30">
        <f t="shared" si="14"/>
        <v>1.9950219721526303</v>
      </c>
      <c r="J35" s="30">
        <f t="shared" si="14"/>
        <v>2.0355726359003601</v>
      </c>
      <c r="K35" s="30">
        <f t="shared" si="14"/>
        <v>2.0957177084772733</v>
      </c>
      <c r="L35" s="30">
        <f t="shared" si="14"/>
        <v>2.2528154520764905</v>
      </c>
      <c r="M35" s="29">
        <f>+main!K88</f>
        <v>19.618540707064799</v>
      </c>
      <c r="N35">
        <f t="shared" si="12"/>
        <v>19.618540707064795</v>
      </c>
      <c r="O35">
        <f t="shared" si="13"/>
        <v>0</v>
      </c>
    </row>
    <row r="36" spans="2:15">
      <c r="B36" t="str">
        <f t="shared" si="4"/>
        <v>COL</v>
      </c>
      <c r="C36" s="30">
        <f t="shared" ref="C36:L36" si="15">IF($M$54="k",C61*C$47,IF($M$54="d",$M36*C61,C12))</f>
        <v>1.5769940204683561E-2</v>
      </c>
      <c r="D36" s="30">
        <f t="shared" si="15"/>
        <v>1.3361154399906087E-2</v>
      </c>
      <c r="E36" s="30">
        <f t="shared" si="15"/>
        <v>1.2527787661798316E-2</v>
      </c>
      <c r="F36" s="30">
        <f t="shared" si="15"/>
        <v>1.1935915562929859E-2</v>
      </c>
      <c r="G36" s="30">
        <f t="shared" si="15"/>
        <v>1.4016436694376225E-2</v>
      </c>
      <c r="H36" s="30">
        <f t="shared" si="15"/>
        <v>1.4753437189163146E-2</v>
      </c>
      <c r="I36" s="30">
        <f t="shared" si="15"/>
        <v>1.5486706700965148E-2</v>
      </c>
      <c r="J36" s="30">
        <f t="shared" si="15"/>
        <v>1.57082321063533E-2</v>
      </c>
      <c r="K36" s="30">
        <f t="shared" si="15"/>
        <v>1.4982409222707634E-2</v>
      </c>
      <c r="L36" s="30">
        <f t="shared" si="15"/>
        <v>1.5028984753684436E-2</v>
      </c>
      <c r="M36" s="29">
        <f>+main!K89</f>
        <v>0.14357100449656771</v>
      </c>
      <c r="N36">
        <f t="shared" si="12"/>
        <v>0.14357100449656773</v>
      </c>
      <c r="O36">
        <f t="shared" si="13"/>
        <v>0</v>
      </c>
    </row>
    <row r="37" spans="2:15">
      <c r="B37" t="str">
        <f t="shared" si="4"/>
        <v>CRU</v>
      </c>
      <c r="C37" s="30">
        <f t="shared" ref="C37:L37" si="16">IF($M$54="k",C62*C$47,IF($M$54="d",$M37*C62,C13))</f>
        <v>2.1256815885640993E-3</v>
      </c>
      <c r="D37" s="30">
        <f t="shared" si="16"/>
        <v>2.1335778209012612E-3</v>
      </c>
      <c r="E37" s="30">
        <f t="shared" si="16"/>
        <v>2.4239902189515058E-3</v>
      </c>
      <c r="F37" s="30">
        <f t="shared" si="16"/>
        <v>2.7786422915341406E-3</v>
      </c>
      <c r="G37" s="30">
        <f t="shared" si="16"/>
        <v>2.9404583382657131E-3</v>
      </c>
      <c r="H37" s="30">
        <f t="shared" si="16"/>
        <v>3.0053698393101521E-3</v>
      </c>
      <c r="I37" s="30">
        <f t="shared" si="16"/>
        <v>3.3987156437294392E-3</v>
      </c>
      <c r="J37" s="30">
        <f t="shared" si="16"/>
        <v>3.3891380665133234E-3</v>
      </c>
      <c r="K37" s="30">
        <f t="shared" si="16"/>
        <v>3.6754000034665791E-3</v>
      </c>
      <c r="L37" s="30">
        <f t="shared" si="16"/>
        <v>4.1584243663029862E-3</v>
      </c>
      <c r="M37" s="29">
        <f>+main!K90</f>
        <v>3.0029398177539201E-2</v>
      </c>
      <c r="N37">
        <f t="shared" si="12"/>
        <v>3.0029398177539197E-2</v>
      </c>
      <c r="O37">
        <f t="shared" si="13"/>
        <v>0</v>
      </c>
    </row>
    <row r="38" spans="2:15">
      <c r="B38" t="str">
        <f t="shared" si="4"/>
        <v>CHM</v>
      </c>
      <c r="C38" s="30">
        <f t="shared" ref="C38:L38" si="17">IF($M$54="k",C63*C$47,IF($M$54="d",$M38*C63,C14))</f>
        <v>2.2387395722911867</v>
      </c>
      <c r="D38" s="30">
        <f t="shared" si="17"/>
        <v>2.6808772126098139</v>
      </c>
      <c r="E38" s="30">
        <f t="shared" si="17"/>
        <v>3.0536179971593382</v>
      </c>
      <c r="F38" s="30">
        <f t="shared" si="17"/>
        <v>3.4768876535417363</v>
      </c>
      <c r="G38" s="30">
        <f t="shared" si="17"/>
        <v>3.7667660987607157</v>
      </c>
      <c r="H38" s="30">
        <f t="shared" si="17"/>
        <v>4.203349391751436</v>
      </c>
      <c r="I38" s="30">
        <f t="shared" si="17"/>
        <v>4.5380178054686118</v>
      </c>
      <c r="J38" s="30">
        <f t="shared" si="17"/>
        <v>4.8860648540943332</v>
      </c>
      <c r="K38" s="30">
        <f t="shared" si="17"/>
        <v>5.1709756588407787</v>
      </c>
      <c r="L38" s="30">
        <f t="shared" si="17"/>
        <v>6.0343035453953391</v>
      </c>
      <c r="M38" s="29">
        <f>+main!K91</f>
        <v>40.049599789913302</v>
      </c>
      <c r="N38">
        <f t="shared" si="12"/>
        <v>40.049599789913287</v>
      </c>
      <c r="O38">
        <f t="shared" si="13"/>
        <v>0</v>
      </c>
    </row>
    <row r="39" spans="2:15">
      <c r="B39" t="str">
        <f t="shared" si="4"/>
        <v>IRS</v>
      </c>
      <c r="C39" s="30">
        <f t="shared" ref="C39:L39" si="18">IF($M$54="k",C64*C$47,IF($M$54="d",$M39*C64,C15))</f>
        <v>1.5214039128819644E-4</v>
      </c>
      <c r="D39" s="30">
        <f t="shared" si="18"/>
        <v>2.0706267337415832E-4</v>
      </c>
      <c r="E39" s="30">
        <f t="shared" si="18"/>
        <v>2.5553092566885381E-4</v>
      </c>
      <c r="F39" s="30">
        <f t="shared" si="18"/>
        <v>3.263769983503532E-4</v>
      </c>
      <c r="G39" s="30">
        <f t="shared" si="18"/>
        <v>4.203701788719467E-4</v>
      </c>
      <c r="H39" s="30">
        <f t="shared" si="18"/>
        <v>4.5948616167917103E-4</v>
      </c>
      <c r="I39" s="30">
        <f t="shared" si="18"/>
        <v>4.6178292615955442E-4</v>
      </c>
      <c r="J39" s="30">
        <f t="shared" si="18"/>
        <v>4.7797671582379495E-4</v>
      </c>
      <c r="K39" s="30">
        <f t="shared" si="18"/>
        <v>5.6496834489777647E-4</v>
      </c>
      <c r="L39" s="30">
        <f t="shared" si="18"/>
        <v>6.3387420160275953E-4</v>
      </c>
      <c r="M39" s="29">
        <f>+main!K92</f>
        <v>3.9595695177165654E-3</v>
      </c>
      <c r="N39">
        <f t="shared" si="6"/>
        <v>3.9595695177165645E-3</v>
      </c>
      <c r="O39">
        <f t="shared" si="7"/>
        <v>0</v>
      </c>
    </row>
    <row r="40" spans="2:15">
      <c r="B40" t="str">
        <f t="shared" si="4"/>
        <v>MAC</v>
      </c>
      <c r="C40" s="30">
        <f t="shared" ref="C40:L40" si="19">IF($M$54="k",C65*C$47,IF($M$54="d",$M40*C65,C16))</f>
        <v>1.7145430100709564</v>
      </c>
      <c r="D40" s="30">
        <f t="shared" si="19"/>
        <v>2.162455826119265</v>
      </c>
      <c r="E40" s="30">
        <f t="shared" si="19"/>
        <v>2.9223553180642607</v>
      </c>
      <c r="F40" s="30">
        <f t="shared" si="19"/>
        <v>3.7585929861967302</v>
      </c>
      <c r="G40" s="30">
        <f t="shared" si="19"/>
        <v>4.1085075596282179</v>
      </c>
      <c r="H40" s="30">
        <f t="shared" si="19"/>
        <v>4.7223919284701363</v>
      </c>
      <c r="I40" s="30">
        <f t="shared" si="19"/>
        <v>5.1089203392732259</v>
      </c>
      <c r="J40" s="30">
        <f t="shared" si="19"/>
        <v>6.8561310324473306</v>
      </c>
      <c r="K40" s="30">
        <f t="shared" si="19"/>
        <v>8.0242790150123575</v>
      </c>
      <c r="L40" s="30">
        <f t="shared" si="19"/>
        <v>12.759982988451124</v>
      </c>
      <c r="M40" s="29">
        <f>+main!K93</f>
        <v>52.138160003733603</v>
      </c>
      <c r="N40">
        <f t="shared" si="6"/>
        <v>52.138160003733603</v>
      </c>
      <c r="O40">
        <f t="shared" si="7"/>
        <v>0</v>
      </c>
    </row>
    <row r="41" spans="2:15">
      <c r="B41" t="str">
        <f t="shared" si="4"/>
        <v>FOT</v>
      </c>
      <c r="C41" s="30">
        <f t="shared" ref="C41:L41" si="20">IF($M$54="k",C66*C$47,IF($M$54="d",$M41*C66,C17))</f>
        <v>12.594518341405262</v>
      </c>
      <c r="D41" s="30">
        <f t="shared" si="20"/>
        <v>13.166355017582768</v>
      </c>
      <c r="E41" s="30">
        <f t="shared" si="20"/>
        <v>14.183296758983797</v>
      </c>
      <c r="F41" s="30">
        <f t="shared" si="20"/>
        <v>14.47619477139863</v>
      </c>
      <c r="G41" s="30">
        <f t="shared" si="20"/>
        <v>15.202900106146256</v>
      </c>
      <c r="H41" s="30">
        <f t="shared" si="20"/>
        <v>15.591356029152333</v>
      </c>
      <c r="I41" s="30">
        <f t="shared" si="20"/>
        <v>16.235329597385498</v>
      </c>
      <c r="J41" s="30">
        <f t="shared" si="20"/>
        <v>16.525764209642478</v>
      </c>
      <c r="K41" s="30">
        <f t="shared" si="20"/>
        <v>16.611075052672977</v>
      </c>
      <c r="L41" s="30">
        <f t="shared" si="20"/>
        <v>17.901795027990442</v>
      </c>
      <c r="M41" s="29">
        <f>+main!K94</f>
        <v>152.48858491236041</v>
      </c>
      <c r="N41">
        <f t="shared" si="6"/>
        <v>152.48858491236044</v>
      </c>
      <c r="O41">
        <f t="shared" si="7"/>
        <v>0</v>
      </c>
    </row>
    <row r="42" spans="2:15">
      <c r="B42" t="str">
        <f t="shared" si="4"/>
        <v>ROI</v>
      </c>
      <c r="C42" s="30">
        <f t="shared" ref="C42:L42" si="21">IF($M$54="k",C67*C$47,IF($M$54="d",$M42*C67,C18))</f>
        <v>5.5297918300947799</v>
      </c>
      <c r="D42" s="30">
        <f t="shared" si="21"/>
        <v>6.6800234865252577</v>
      </c>
      <c r="E42" s="30">
        <f t="shared" si="21"/>
        <v>7.8711467666399715</v>
      </c>
      <c r="F42" s="30">
        <f t="shared" si="21"/>
        <v>9.2714624656352225</v>
      </c>
      <c r="G42" s="30">
        <f t="shared" si="21"/>
        <v>10.169661082667407</v>
      </c>
      <c r="H42" s="30">
        <f t="shared" si="21"/>
        <v>11.390980404070126</v>
      </c>
      <c r="I42" s="30">
        <f t="shared" si="21"/>
        <v>12.738423079099007</v>
      </c>
      <c r="J42" s="30">
        <f t="shared" si="21"/>
        <v>13.977754163072071</v>
      </c>
      <c r="K42" s="30">
        <f t="shared" si="21"/>
        <v>15.822030352712396</v>
      </c>
      <c r="L42" s="30">
        <f t="shared" si="21"/>
        <v>20.96511473794116</v>
      </c>
      <c r="M42" s="29">
        <f>+main!K95</f>
        <v>114.4163883684574</v>
      </c>
      <c r="N42">
        <f t="shared" si="6"/>
        <v>114.41638836845739</v>
      </c>
      <c r="O42">
        <f t="shared" si="7"/>
        <v>0</v>
      </c>
    </row>
    <row r="43" spans="2:15">
      <c r="B43" t="str">
        <f t="shared" si="4"/>
        <v>BUI</v>
      </c>
      <c r="C43" s="30">
        <f t="shared" ref="C43:L43" si="22">IF($M$54="k",C68*C$47,IF($M$54="d",$M43*C68,C19))</f>
        <v>0.1203306951998504</v>
      </c>
      <c r="D43" s="30">
        <f t="shared" si="22"/>
        <v>0.14158391287550709</v>
      </c>
      <c r="E43" s="30">
        <f t="shared" si="22"/>
        <v>0.18107533482563884</v>
      </c>
      <c r="F43" s="30">
        <f t="shared" si="22"/>
        <v>0.26163443108306467</v>
      </c>
      <c r="G43" s="30">
        <f t="shared" si="22"/>
        <v>0.3392596888633157</v>
      </c>
      <c r="H43" s="30">
        <f t="shared" si="22"/>
        <v>0.33717313611642691</v>
      </c>
      <c r="I43" s="30">
        <f t="shared" si="22"/>
        <v>0.38417370480198754</v>
      </c>
      <c r="J43" s="30">
        <f t="shared" si="22"/>
        <v>0.46084521208377777</v>
      </c>
      <c r="K43" s="30">
        <f t="shared" si="22"/>
        <v>0.59265958062438107</v>
      </c>
      <c r="L43" s="30">
        <f t="shared" si="22"/>
        <v>0.67825828945788869</v>
      </c>
      <c r="M43" s="29">
        <f>+main!K96</f>
        <v>3.4969939859318391</v>
      </c>
      <c r="N43">
        <f t="shared" si="6"/>
        <v>3.4969939859318386</v>
      </c>
      <c r="O43">
        <f t="shared" si="7"/>
        <v>0</v>
      </c>
    </row>
    <row r="44" spans="2:15">
      <c r="B44" t="str">
        <f t="shared" si="4"/>
        <v>TRN</v>
      </c>
      <c r="C44" s="30">
        <f t="shared" ref="C44:L44" si="23">IF($M$54="k",C69*C$47,IF($M$54="d",$M44*C69,C20))</f>
        <v>3.0187830043042876</v>
      </c>
      <c r="D44" s="30">
        <f t="shared" si="23"/>
        <v>3.3994813569861466</v>
      </c>
      <c r="E44" s="30">
        <f t="shared" si="23"/>
        <v>3.3033152860296835</v>
      </c>
      <c r="F44" s="30">
        <f t="shared" si="23"/>
        <v>3.8361250610414075</v>
      </c>
      <c r="G44" s="30">
        <f t="shared" si="23"/>
        <v>3.8614793594995125</v>
      </c>
      <c r="H44" s="30">
        <f t="shared" si="23"/>
        <v>4.5353615122460402</v>
      </c>
      <c r="I44" s="30">
        <f t="shared" si="23"/>
        <v>4.6667012036633464</v>
      </c>
      <c r="J44" s="30">
        <f t="shared" si="23"/>
        <v>5.6418667203164707</v>
      </c>
      <c r="K44" s="30">
        <f t="shared" si="23"/>
        <v>6.8509143868697349</v>
      </c>
      <c r="L44" s="30">
        <f t="shared" si="23"/>
        <v>10.899894169528865</v>
      </c>
      <c r="M44" s="29">
        <f>+main!K97</f>
        <v>50.013922060485498</v>
      </c>
      <c r="N44">
        <f t="shared" si="6"/>
        <v>50.013922060485491</v>
      </c>
      <c r="O44">
        <f t="shared" si="7"/>
        <v>0</v>
      </c>
    </row>
    <row r="45" spans="2:15">
      <c r="B45" t="str">
        <f t="shared" si="4"/>
        <v>AGR</v>
      </c>
      <c r="C45" s="30">
        <f t="shared" ref="C45:L45" si="24">IF($M$54="k",C70*C$47,IF($M$54="d",$M45*C70,C21))</f>
        <v>0.88961502987274099</v>
      </c>
      <c r="D45" s="30">
        <f t="shared" si="24"/>
        <v>0.93796352762805779</v>
      </c>
      <c r="E45" s="30">
        <f t="shared" si="24"/>
        <v>1.0149027995821098</v>
      </c>
      <c r="F45" s="30">
        <f t="shared" si="24"/>
        <v>1.0324692666763751</v>
      </c>
      <c r="G45" s="30">
        <f t="shared" si="24"/>
        <v>1.0747515740295079</v>
      </c>
      <c r="H45" s="30">
        <f t="shared" si="24"/>
        <v>1.1002992511425007</v>
      </c>
      <c r="I45" s="30">
        <f t="shared" si="24"/>
        <v>1.1402570251290602</v>
      </c>
      <c r="J45" s="30">
        <f t="shared" si="24"/>
        <v>1.1550658229877571</v>
      </c>
      <c r="K45" s="30">
        <f t="shared" si="24"/>
        <v>1.1720927614737722</v>
      </c>
      <c r="L45" s="30">
        <f t="shared" si="24"/>
        <v>1.2432188302152787</v>
      </c>
      <c r="M45" s="29">
        <f>+main!K98</f>
        <v>10.760635888737159</v>
      </c>
      <c r="N45">
        <f t="shared" si="6"/>
        <v>10.760635888737159</v>
      </c>
      <c r="O45">
        <f t="shared" si="7"/>
        <v>0</v>
      </c>
    </row>
    <row r="46" spans="2:15">
      <c r="B46" t="str">
        <f t="shared" si="4"/>
        <v>SER</v>
      </c>
      <c r="C46" s="30">
        <f t="shared" ref="C46:L46" si="25">IF($M$54="k",C71*C$47,IF($M$54="d",$M46*C71,C22))</f>
        <v>48.080521247765851</v>
      </c>
      <c r="D46" s="30">
        <f t="shared" si="25"/>
        <v>49.747780532177465</v>
      </c>
      <c r="E46" s="30">
        <f t="shared" si="25"/>
        <v>54.359395862521232</v>
      </c>
      <c r="F46" s="30">
        <f t="shared" si="25"/>
        <v>58.645370225655412</v>
      </c>
      <c r="G46" s="30">
        <f t="shared" si="25"/>
        <v>63.13807282953983</v>
      </c>
      <c r="H46" s="30">
        <f t="shared" si="25"/>
        <v>68.339397056944478</v>
      </c>
      <c r="I46" s="30">
        <f t="shared" si="25"/>
        <v>75.104811614047165</v>
      </c>
      <c r="J46" s="30">
        <f t="shared" si="25"/>
        <v>84.799563251545024</v>
      </c>
      <c r="K46" s="30">
        <f t="shared" si="25"/>
        <v>100.11816683076221</v>
      </c>
      <c r="L46" s="30">
        <f t="shared" si="25"/>
        <v>142.33786046083398</v>
      </c>
      <c r="M46" s="29">
        <f>+main!K99</f>
        <v>744.67093991179274</v>
      </c>
      <c r="N46">
        <f t="shared" si="6"/>
        <v>744.67093991179263</v>
      </c>
      <c r="O46">
        <f t="shared" si="7"/>
        <v>0</v>
      </c>
    </row>
    <row r="47" spans="2:15">
      <c r="B47" s="29" t="s">
        <v>397</v>
      </c>
      <c r="C47" s="29">
        <f>+main!AC105*SUM(RAS_procedure!$C$5:$L$22)</f>
        <v>81.699228466920061</v>
      </c>
      <c r="D47" s="29">
        <f>+main!AD105*SUM(RAS_procedure!$C$5:$L$22)</f>
        <v>87.41325265972138</v>
      </c>
      <c r="E47" s="29">
        <f>+main!AE105*SUM(RAS_procedure!$C$5:$L$22)</f>
        <v>97.26083097378411</v>
      </c>
      <c r="F47" s="29">
        <f>+main!AF105*SUM(RAS_procedure!$C$5:$L$22)</f>
        <v>107.56112405714556</v>
      </c>
      <c r="G47" s="29">
        <f>+main!AG105*SUM(RAS_procedure!$C$5:$L$22)</f>
        <v>115.43441130896993</v>
      </c>
      <c r="H47" s="29">
        <f>+main!AH105*SUM(RAS_procedure!$C$5:$L$22)</f>
        <v>125.62449916404508</v>
      </c>
      <c r="I47" s="29">
        <f>+main!AI105*SUM(RAS_procedure!$C$5:$L$22)</f>
        <v>136.15301346007308</v>
      </c>
      <c r="J47" s="29">
        <f>+main!AJ105*SUM(RAS_procedure!$C$5:$L$22)</f>
        <v>155.11481517729953</v>
      </c>
      <c r="K47" s="29">
        <f>+main!AK105*SUM(RAS_procedure!$C$5:$L$22)</f>
        <v>178.16790777544136</v>
      </c>
      <c r="L47" s="29">
        <f>+main!AL105*SUM(RAS_procedure!$C$5:$L$22)</f>
        <v>249.12991864307295</v>
      </c>
    </row>
    <row r="48" spans="2:15">
      <c r="C48">
        <f>+SUM(C29:C46)</f>
        <v>81.699228466920374</v>
      </c>
      <c r="D48">
        <f t="shared" ref="D48:L48" si="26">+SUM(D29:D46)</f>
        <v>87.413252659721735</v>
      </c>
      <c r="E48">
        <f t="shared" si="26"/>
        <v>97.260830973784493</v>
      </c>
      <c r="F48">
        <f t="shared" si="26"/>
        <v>107.56112405714599</v>
      </c>
      <c r="G48">
        <f t="shared" si="26"/>
        <v>115.43441130897038</v>
      </c>
      <c r="H48">
        <f t="shared" si="26"/>
        <v>125.62449916404557</v>
      </c>
      <c r="I48">
        <f t="shared" si="26"/>
        <v>136.15301346007362</v>
      </c>
      <c r="J48">
        <f t="shared" si="26"/>
        <v>155.11481517730016</v>
      </c>
      <c r="K48">
        <f t="shared" si="26"/>
        <v>178.16790777544207</v>
      </c>
      <c r="L48">
        <f t="shared" si="26"/>
        <v>249.12991864307395</v>
      </c>
    </row>
    <row r="49" spans="2:13">
      <c r="C49">
        <f>+C48-C47</f>
        <v>3.1263880373444408E-13</v>
      </c>
      <c r="D49">
        <f t="shared" ref="D49:L49" si="27">+D48-D47</f>
        <v>3.5527136788005009E-13</v>
      </c>
      <c r="E49">
        <f t="shared" si="27"/>
        <v>3.836930773104541E-13</v>
      </c>
      <c r="F49">
        <f t="shared" si="27"/>
        <v>4.2632564145606011E-13</v>
      </c>
      <c r="G49">
        <f t="shared" si="27"/>
        <v>4.5474735088646412E-13</v>
      </c>
      <c r="H49">
        <f t="shared" si="27"/>
        <v>4.9737991503207013E-13</v>
      </c>
      <c r="I49">
        <f t="shared" si="27"/>
        <v>5.4001247917767614E-13</v>
      </c>
      <c r="J49">
        <f t="shared" si="27"/>
        <v>6.2527760746888816E-13</v>
      </c>
      <c r="K49">
        <f t="shared" si="27"/>
        <v>7.1054273576010019E-13</v>
      </c>
      <c r="L49">
        <f t="shared" si="27"/>
        <v>9.9475983006414026E-13</v>
      </c>
    </row>
    <row r="50" spans="2:13">
      <c r="C50">
        <f>+C47/C48</f>
        <v>0.99999999999999623</v>
      </c>
      <c r="D50">
        <f t="shared" ref="D50:L50" si="28">+D47/D48</f>
        <v>0.99999999999999589</v>
      </c>
      <c r="E50">
        <f t="shared" si="28"/>
        <v>0.999999999999996</v>
      </c>
      <c r="F50">
        <f t="shared" si="28"/>
        <v>0.999999999999996</v>
      </c>
      <c r="G50">
        <f t="shared" si="28"/>
        <v>0.99999999999999611</v>
      </c>
      <c r="H50">
        <f t="shared" si="28"/>
        <v>0.999999999999996</v>
      </c>
      <c r="I50">
        <f t="shared" si="28"/>
        <v>0.999999999999996</v>
      </c>
      <c r="J50">
        <f t="shared" si="28"/>
        <v>0.999999999999996</v>
      </c>
      <c r="K50">
        <f t="shared" si="28"/>
        <v>0.999999999999996</v>
      </c>
      <c r="L50">
        <f t="shared" si="28"/>
        <v>0.999999999999996</v>
      </c>
    </row>
    <row r="51" spans="2:13">
      <c r="B51" t="s">
        <v>443</v>
      </c>
    </row>
    <row r="53" spans="2:13">
      <c r="B53" s="21"/>
      <c r="C53" t="s">
        <v>386</v>
      </c>
      <c r="D53" t="s">
        <v>388</v>
      </c>
      <c r="E53" t="s">
        <v>389</v>
      </c>
      <c r="F53" t="s">
        <v>390</v>
      </c>
      <c r="G53" t="s">
        <v>391</v>
      </c>
      <c r="H53" t="s">
        <v>392</v>
      </c>
      <c r="I53" t="s">
        <v>393</v>
      </c>
      <c r="J53" t="s">
        <v>394</v>
      </c>
      <c r="K53" t="s">
        <v>395</v>
      </c>
      <c r="L53" t="s">
        <v>396</v>
      </c>
    </row>
    <row r="54" spans="2:13">
      <c r="B54" t="str">
        <f>+B29</f>
        <v>oil</v>
      </c>
      <c r="C54" s="31">
        <v>5.0052192025989144E-2</v>
      </c>
      <c r="D54" s="31">
        <v>6.0759875741675129E-2</v>
      </c>
      <c r="E54" s="31">
        <v>7.7322219599996397E-2</v>
      </c>
      <c r="F54" s="31">
        <v>8.8793125348212321E-2</v>
      </c>
      <c r="G54" s="31">
        <v>9.8938304049040526E-2</v>
      </c>
      <c r="H54" s="31">
        <v>0.1069360875470575</v>
      </c>
      <c r="I54" s="31">
        <v>0.11854516550102431</v>
      </c>
      <c r="J54" s="31">
        <v>0.12419192950842826</v>
      </c>
      <c r="K54" s="31">
        <v>0.13105675032917383</v>
      </c>
      <c r="L54" s="31">
        <v>0.14340435034940252</v>
      </c>
      <c r="M54" s="32" t="s">
        <v>444</v>
      </c>
    </row>
    <row r="55" spans="2:13">
      <c r="B55" t="str">
        <f t="shared" ref="B55:B71" si="29">+B30</f>
        <v>gas</v>
      </c>
      <c r="C55" s="31">
        <v>7.5169742303123344E-2</v>
      </c>
      <c r="D55" s="31">
        <v>8.1547096060141183E-2</v>
      </c>
      <c r="E55" s="31">
        <v>8.7929427276292438E-2</v>
      </c>
      <c r="F55" s="31">
        <v>9.0123375741555142E-2</v>
      </c>
      <c r="G55" s="31">
        <v>9.5371119938171156E-2</v>
      </c>
      <c r="H55" s="31">
        <v>0.10113677509514171</v>
      </c>
      <c r="I55" s="31">
        <v>0.10451232487666196</v>
      </c>
      <c r="J55" s="31">
        <v>0.10773348934180578</v>
      </c>
      <c r="K55" s="31">
        <v>0.11731162166984732</v>
      </c>
      <c r="L55" s="31">
        <v>0.13916502769725986</v>
      </c>
    </row>
    <row r="56" spans="2:13">
      <c r="B56" t="str">
        <f t="shared" si="29"/>
        <v>ppp</v>
      </c>
      <c r="C56" s="31">
        <v>5.8222238371510499E-2</v>
      </c>
      <c r="D56" s="31">
        <v>6.7556953538875641E-2</v>
      </c>
      <c r="E56" s="31">
        <v>7.4197516758555432E-2</v>
      </c>
      <c r="F56" s="31">
        <v>8.5023419264945069E-2</v>
      </c>
      <c r="G56" s="31">
        <v>8.8394321309209864E-2</v>
      </c>
      <c r="H56" s="31">
        <v>9.9189239635733659E-2</v>
      </c>
      <c r="I56" s="31">
        <v>0.10472512632162372</v>
      </c>
      <c r="J56" s="31">
        <v>0.11771489902393645</v>
      </c>
      <c r="K56" s="31">
        <v>0.1317532033958019</v>
      </c>
      <c r="L56" s="31">
        <v>0.17322308237980782</v>
      </c>
    </row>
    <row r="57" spans="2:13">
      <c r="B57" t="str">
        <f t="shared" si="29"/>
        <v>nmm</v>
      </c>
      <c r="C57" s="31">
        <v>4.5033635405866031E-2</v>
      </c>
      <c r="D57" s="31">
        <v>5.7727523518963403E-2</v>
      </c>
      <c r="E57" s="31">
        <v>7.2142029755927053E-2</v>
      </c>
      <c r="F57" s="31">
        <v>8.7267881721407578E-2</v>
      </c>
      <c r="G57" s="31">
        <v>9.8709071370280635E-2</v>
      </c>
      <c r="H57" s="31">
        <v>0.10568138292308386</v>
      </c>
      <c r="I57" s="31">
        <v>0.11232572750613046</v>
      </c>
      <c r="J57" s="31">
        <v>0.12025404905054733</v>
      </c>
      <c r="K57" s="31">
        <v>0.13815141654867447</v>
      </c>
      <c r="L57" s="31">
        <v>0.16270728219911887</v>
      </c>
    </row>
    <row r="58" spans="2:13">
      <c r="B58" t="str">
        <f t="shared" si="29"/>
        <v>nfm</v>
      </c>
      <c r="C58" s="31">
        <v>3.8423467654113551E-2</v>
      </c>
      <c r="D58" s="31">
        <v>5.2294238666017547E-2</v>
      </c>
      <c r="E58" s="31">
        <v>6.4535026983492699E-2</v>
      </c>
      <c r="F58" s="31">
        <v>8.2427394414979441E-2</v>
      </c>
      <c r="G58" s="31">
        <v>0.10616562658921808</v>
      </c>
      <c r="H58" s="31">
        <v>0.11604447393163872</v>
      </c>
      <c r="I58" s="31">
        <v>0.11662452801835359</v>
      </c>
      <c r="J58" s="31">
        <v>0.12071431343360739</v>
      </c>
      <c r="K58" s="31">
        <v>0.14268428483700091</v>
      </c>
      <c r="L58" s="31">
        <v>0.16008664547157819</v>
      </c>
    </row>
    <row r="59" spans="2:13">
      <c r="B59" t="str">
        <f t="shared" si="29"/>
        <v>mvh</v>
      </c>
      <c r="C59" s="31">
        <v>2.2038468258217796E-2</v>
      </c>
      <c r="D59" s="31">
        <v>2.5959149030925641E-2</v>
      </c>
      <c r="E59" s="31">
        <v>3.9208322604389508E-2</v>
      </c>
      <c r="F59" s="31">
        <v>6.2785165058652254E-2</v>
      </c>
      <c r="G59" s="31">
        <v>6.7662118733013504E-2</v>
      </c>
      <c r="H59" s="31">
        <v>8.0648985086999525E-2</v>
      </c>
      <c r="I59" s="31">
        <v>8.3047888631852626E-2</v>
      </c>
      <c r="J59" s="31">
        <v>0.13757213244165925</v>
      </c>
      <c r="K59" s="31">
        <v>0.16744627618283275</v>
      </c>
      <c r="L59" s="31">
        <v>0.31363149397145723</v>
      </c>
    </row>
    <row r="60" spans="2:13">
      <c r="B60" t="str">
        <f t="shared" si="29"/>
        <v>ele</v>
      </c>
      <c r="C60" s="31">
        <v>9.4876919473342564E-2</v>
      </c>
      <c r="D60" s="31">
        <v>9.2968810949097522E-2</v>
      </c>
      <c r="E60" s="31">
        <v>9.5887832925954569E-2</v>
      </c>
      <c r="F60" s="31">
        <v>9.2787923284935334E-2</v>
      </c>
      <c r="G60" s="31">
        <v>9.7117167519111536E-2</v>
      </c>
      <c r="H60" s="31">
        <v>9.9258846547528395E-2</v>
      </c>
      <c r="I60" s="31">
        <v>0.10169064060071534</v>
      </c>
      <c r="J60" s="31">
        <v>0.10375759677004587</v>
      </c>
      <c r="K60" s="31">
        <v>0.10682332288469285</v>
      </c>
      <c r="L60" s="31">
        <v>0.11483093904457597</v>
      </c>
    </row>
    <row r="61" spans="2:13">
      <c r="B61" t="str">
        <f t="shared" si="29"/>
        <v>COL</v>
      </c>
      <c r="C61" s="31">
        <v>0.1098407039776654</v>
      </c>
      <c r="D61" s="31">
        <v>9.3063041849968442E-2</v>
      </c>
      <c r="E61" s="31">
        <v>8.7258480260182431E-2</v>
      </c>
      <c r="F61" s="31">
        <v>8.3135975852388813E-2</v>
      </c>
      <c r="G61" s="31">
        <v>9.7627210616272525E-2</v>
      </c>
      <c r="H61" s="31">
        <v>0.10276056255854817</v>
      </c>
      <c r="I61" s="31">
        <v>0.10786792747790089</v>
      </c>
      <c r="J61" s="31">
        <v>0.10941089505805353</v>
      </c>
      <c r="K61" s="31">
        <v>0.10435539735368929</v>
      </c>
      <c r="L61" s="31">
        <v>0.10467980499533057</v>
      </c>
    </row>
    <row r="62" spans="2:13">
      <c r="B62" t="str">
        <f t="shared" si="29"/>
        <v>CRU</v>
      </c>
      <c r="C62" s="31">
        <v>7.0786686299761578E-2</v>
      </c>
      <c r="D62" s="31">
        <v>7.1049636369239416E-2</v>
      </c>
      <c r="E62" s="31">
        <v>8.0720572707466187E-2</v>
      </c>
      <c r="F62" s="31">
        <v>9.2530735218411903E-2</v>
      </c>
      <c r="G62" s="31">
        <v>9.7919322954166277E-2</v>
      </c>
      <c r="H62" s="31">
        <v>0.10008092142046489</v>
      </c>
      <c r="I62" s="31">
        <v>0.1131796123130947</v>
      </c>
      <c r="J62" s="31">
        <v>0.11286067228108035</v>
      </c>
      <c r="K62" s="31">
        <v>0.12239339535667526</v>
      </c>
      <c r="L62" s="31">
        <v>0.13847844507963941</v>
      </c>
    </row>
    <row r="63" spans="2:13">
      <c r="B63" t="str">
        <f t="shared" si="29"/>
        <v>CHM</v>
      </c>
      <c r="C63" s="31">
        <v>5.5899174624337314E-2</v>
      </c>
      <c r="D63" s="31">
        <v>6.6938926398086171E-2</v>
      </c>
      <c r="E63" s="31">
        <v>7.624590540673537E-2</v>
      </c>
      <c r="F63" s="31">
        <v>8.6814541762722144E-2</v>
      </c>
      <c r="G63" s="31">
        <v>9.405252782849019E-2</v>
      </c>
      <c r="H63" s="31">
        <v>0.10495359288983634</v>
      </c>
      <c r="I63" s="31">
        <v>0.1133099414044965</v>
      </c>
      <c r="J63" s="31">
        <v>0.12200034156957827</v>
      </c>
      <c r="K63" s="31">
        <v>0.12911429042901737</v>
      </c>
      <c r="L63" s="31">
        <v>0.15067075768670002</v>
      </c>
    </row>
    <row r="64" spans="2:13">
      <c r="B64" t="str">
        <f t="shared" si="29"/>
        <v>IRS</v>
      </c>
      <c r="C64" s="31">
        <v>3.8423467654113551E-2</v>
      </c>
      <c r="D64" s="31">
        <v>5.2294238666017609E-2</v>
      </c>
      <c r="E64" s="31">
        <v>6.4535026983492727E-2</v>
      </c>
      <c r="F64" s="31">
        <v>8.2427394414979427E-2</v>
      </c>
      <c r="G64" s="31">
        <v>0.10616562658921795</v>
      </c>
      <c r="H64" s="31">
        <v>0.11604447393163866</v>
      </c>
      <c r="I64" s="31">
        <v>0.1166245280183536</v>
      </c>
      <c r="J64" s="31">
        <v>0.12071431343360735</v>
      </c>
      <c r="K64" s="31">
        <v>0.14268428483700085</v>
      </c>
      <c r="L64" s="31">
        <v>0.16008664547157817</v>
      </c>
    </row>
    <row r="65" spans="2:28">
      <c r="B65" t="str">
        <f t="shared" si="29"/>
        <v>MAC</v>
      </c>
      <c r="C65" s="31">
        <v>3.2884609083791573E-2</v>
      </c>
      <c r="D65" s="31">
        <v>4.1475491769644574E-2</v>
      </c>
      <c r="E65" s="31">
        <v>5.6050219606042707E-2</v>
      </c>
      <c r="F65" s="31">
        <v>7.2089099153625255E-2</v>
      </c>
      <c r="G65" s="31">
        <v>7.8800394170680521E-2</v>
      </c>
      <c r="H65" s="31">
        <v>9.0574579696175828E-2</v>
      </c>
      <c r="I65" s="31">
        <v>9.7988121155548585E-2</v>
      </c>
      <c r="J65" s="31">
        <v>0.13149929019275641</v>
      </c>
      <c r="K65" s="31">
        <v>0.1539041464915091</v>
      </c>
      <c r="L65" s="31">
        <v>0.24473404868022547</v>
      </c>
    </row>
    <row r="66" spans="2:28">
      <c r="B66" t="str">
        <f t="shared" si="29"/>
        <v>FOT</v>
      </c>
      <c r="C66" s="31">
        <v>8.2593187868086615E-2</v>
      </c>
      <c r="D66" s="31">
        <v>8.634321726540943E-2</v>
      </c>
      <c r="E66" s="31">
        <v>9.3012186893434337E-2</v>
      </c>
      <c r="F66" s="31">
        <v>9.4932973374489096E-2</v>
      </c>
      <c r="G66" s="31">
        <v>9.9698610980512414E-2</v>
      </c>
      <c r="H66" s="31">
        <v>0.10224605361846026</v>
      </c>
      <c r="I66" s="31">
        <v>0.10646914722643934</v>
      </c>
      <c r="J66" s="31">
        <v>0.10837377905461128</v>
      </c>
      <c r="K66" s="31">
        <v>0.10893323629581743</v>
      </c>
      <c r="L66" s="31">
        <v>0.11739760742274001</v>
      </c>
    </row>
    <row r="67" spans="2:28">
      <c r="B67" t="str">
        <f t="shared" si="29"/>
        <v>ROI</v>
      </c>
      <c r="C67" s="31">
        <v>4.8330417599680563E-2</v>
      </c>
      <c r="D67" s="31">
        <v>5.8383449974084511E-2</v>
      </c>
      <c r="E67" s="31">
        <v>6.8793875413130146E-2</v>
      </c>
      <c r="F67" s="31">
        <v>8.10326439930803E-2</v>
      </c>
      <c r="G67" s="31">
        <v>8.8882905916570637E-2</v>
      </c>
      <c r="H67" s="31">
        <v>9.9557244958541444E-2</v>
      </c>
      <c r="I67" s="31">
        <v>0.11133390295520609</v>
      </c>
      <c r="J67" s="31">
        <v>0.12216566492257409</v>
      </c>
      <c r="K67" s="31">
        <v>0.13828465116168842</v>
      </c>
      <c r="L67" s="31">
        <v>0.18323524310544376</v>
      </c>
    </row>
    <row r="68" spans="2:28">
      <c r="B68" t="str">
        <f t="shared" si="29"/>
        <v>BUI</v>
      </c>
      <c r="C68" s="31">
        <v>3.4409751827979208E-2</v>
      </c>
      <c r="D68" s="31">
        <v>4.0487319522163667E-2</v>
      </c>
      <c r="E68" s="31">
        <v>5.1780282023386998E-2</v>
      </c>
      <c r="F68" s="31">
        <v>7.4816951969491965E-2</v>
      </c>
      <c r="G68" s="31">
        <v>9.7014661800430196E-2</v>
      </c>
      <c r="H68" s="31">
        <v>9.6417991415727544E-2</v>
      </c>
      <c r="I68" s="31">
        <v>0.1098582686580221</v>
      </c>
      <c r="J68" s="31">
        <v>0.13178324410557343</v>
      </c>
      <c r="K68" s="31">
        <v>0.16947686584781355</v>
      </c>
      <c r="L68" s="31">
        <v>0.19395466282941123</v>
      </c>
    </row>
    <row r="69" spans="2:28">
      <c r="B69" t="str">
        <f t="shared" si="29"/>
        <v>TRN</v>
      </c>
      <c r="C69" s="31">
        <v>6.0358853693846533E-2</v>
      </c>
      <c r="D69" s="31">
        <v>6.7970701295429398E-2</v>
      </c>
      <c r="E69" s="31">
        <v>6.6047915259170087E-2</v>
      </c>
      <c r="F69" s="31">
        <v>7.6701144461378185E-2</v>
      </c>
      <c r="G69" s="31">
        <v>7.7208089276212782E-2</v>
      </c>
      <c r="H69" s="31">
        <v>9.0681980644531243E-2</v>
      </c>
      <c r="I69" s="31">
        <v>9.3308043268823485E-2</v>
      </c>
      <c r="J69" s="31">
        <v>0.11280592458822462</v>
      </c>
      <c r="K69" s="31">
        <v>0.13698014681960799</v>
      </c>
      <c r="L69" s="31">
        <v>0.21793720069277561</v>
      </c>
    </row>
    <row r="70" spans="2:28">
      <c r="B70" t="str">
        <f t="shared" si="29"/>
        <v>AGR</v>
      </c>
      <c r="C70" s="31">
        <v>8.2673090983765643E-2</v>
      </c>
      <c r="D70" s="31">
        <v>8.7166180263547124E-2</v>
      </c>
      <c r="E70" s="31">
        <v>9.4316247671234629E-2</v>
      </c>
      <c r="F70" s="31">
        <v>9.5948722487397817E-2</v>
      </c>
      <c r="G70" s="31">
        <v>9.9878072740517021E-2</v>
      </c>
      <c r="H70" s="31">
        <v>0.10225225186683917</v>
      </c>
      <c r="I70" s="31">
        <v>0.10596558018681161</v>
      </c>
      <c r="J70" s="31">
        <v>0.10734178118569465</v>
      </c>
      <c r="K70" s="31">
        <v>0.1089241169009879</v>
      </c>
      <c r="L70" s="31">
        <v>0.11553395571320457</v>
      </c>
    </row>
    <row r="71" spans="2:28">
      <c r="B71" t="str">
        <f t="shared" si="29"/>
        <v>SER</v>
      </c>
      <c r="C71" s="31">
        <v>6.4566130717362294E-2</v>
      </c>
      <c r="D71" s="31">
        <v>6.6805051554811784E-2</v>
      </c>
      <c r="E71" s="31">
        <v>7.2997874563173068E-2</v>
      </c>
      <c r="F71" s="31">
        <v>7.8753402452635027E-2</v>
      </c>
      <c r="G71" s="31">
        <v>8.4786540531605295E-2</v>
      </c>
      <c r="H71" s="31">
        <v>9.1771268884266344E-2</v>
      </c>
      <c r="I71" s="31">
        <v>0.10085637506271351</v>
      </c>
      <c r="J71" s="31">
        <v>0.11387521481849372</v>
      </c>
      <c r="K71" s="31">
        <v>0.13444618483785784</v>
      </c>
      <c r="L71" s="31">
        <v>0.191141956577081</v>
      </c>
    </row>
    <row r="76" spans="2:28">
      <c r="B76" t="s">
        <v>445</v>
      </c>
      <c r="Q76" t="s">
        <v>446</v>
      </c>
    </row>
    <row r="79" spans="2:28">
      <c r="B79" s="21"/>
      <c r="C79" t="s">
        <v>386</v>
      </c>
      <c r="D79" t="s">
        <v>388</v>
      </c>
      <c r="E79" t="s">
        <v>389</v>
      </c>
      <c r="F79" t="s">
        <v>390</v>
      </c>
      <c r="G79" t="s">
        <v>391</v>
      </c>
      <c r="H79" t="s">
        <v>392</v>
      </c>
      <c r="I79" t="s">
        <v>393</v>
      </c>
      <c r="J79" t="s">
        <v>394</v>
      </c>
      <c r="K79" t="s">
        <v>395</v>
      </c>
      <c r="L79" t="s">
        <v>396</v>
      </c>
      <c r="Q79" s="21"/>
      <c r="R79" t="s">
        <v>386</v>
      </c>
      <c r="S79" t="s">
        <v>388</v>
      </c>
      <c r="T79" t="s">
        <v>389</v>
      </c>
      <c r="U79" t="s">
        <v>390</v>
      </c>
      <c r="V79" t="s">
        <v>391</v>
      </c>
      <c r="W79" t="s">
        <v>392</v>
      </c>
      <c r="X79" t="s">
        <v>393</v>
      </c>
      <c r="Y79" t="s">
        <v>394</v>
      </c>
      <c r="Z79" t="s">
        <v>395</v>
      </c>
      <c r="AA79" t="s">
        <v>396</v>
      </c>
    </row>
    <row r="80" spans="2:28">
      <c r="B80" t="str">
        <f>+B54</f>
        <v>oil</v>
      </c>
      <c r="C80" s="30">
        <f>(C$47/C$48)*C29/C$47</f>
        <v>2.0725544076621319E-2</v>
      </c>
      <c r="D80" s="30">
        <f t="shared" ref="D80:L80" si="30">(D$47/D$48)*D29/D$47</f>
        <v>2.3514751295025924E-2</v>
      </c>
      <c r="E80" s="30">
        <f t="shared" si="30"/>
        <v>2.6894726365503063E-2</v>
      </c>
      <c r="F80" s="30">
        <f t="shared" si="30"/>
        <v>2.7927033366164443E-2</v>
      </c>
      <c r="G80" s="30">
        <f t="shared" si="30"/>
        <v>2.8995457300608003E-2</v>
      </c>
      <c r="H80" s="30">
        <f t="shared" si="30"/>
        <v>2.8797231699493189E-2</v>
      </c>
      <c r="I80" s="30">
        <f t="shared" si="30"/>
        <v>2.9454888479706842E-2</v>
      </c>
      <c r="J80" s="30">
        <f t="shared" si="30"/>
        <v>2.708575141234728E-2</v>
      </c>
      <c r="K80" s="30">
        <f t="shared" si="30"/>
        <v>2.4884602530095199E-2</v>
      </c>
      <c r="L80" s="30">
        <f t="shared" si="30"/>
        <v>1.9473195934612976E-2</v>
      </c>
      <c r="M80" s="7" t="s">
        <v>447</v>
      </c>
      <c r="Q80" t="str">
        <f>+B80</f>
        <v>oil</v>
      </c>
      <c r="R80" s="30">
        <f t="shared" ref="R80:AA80" si="31">($M29/$N29)*C29/$M29</f>
        <v>5.0052192025989144E-2</v>
      </c>
      <c r="S80" s="30">
        <f t="shared" si="31"/>
        <v>6.0759875741675129E-2</v>
      </c>
      <c r="T80" s="30">
        <f t="shared" si="31"/>
        <v>7.7322219599996397E-2</v>
      </c>
      <c r="U80" s="30">
        <f t="shared" si="31"/>
        <v>8.8793125348212321E-2</v>
      </c>
      <c r="V80" s="30">
        <f t="shared" si="31"/>
        <v>9.8938304049040526E-2</v>
      </c>
      <c r="W80" s="30">
        <f t="shared" si="31"/>
        <v>0.1069360875470575</v>
      </c>
      <c r="X80" s="30">
        <f t="shared" si="31"/>
        <v>0.11854516550102431</v>
      </c>
      <c r="Y80" s="30">
        <f t="shared" si="31"/>
        <v>0.12419192950842826</v>
      </c>
      <c r="Z80" s="30">
        <f t="shared" si="31"/>
        <v>0.13105675032917383</v>
      </c>
      <c r="AA80" s="30">
        <f t="shared" si="31"/>
        <v>0.14340435034940252</v>
      </c>
      <c r="AB80" s="7" t="s">
        <v>444</v>
      </c>
    </row>
    <row r="81" spans="2:28">
      <c r="B81" t="str">
        <f t="shared" ref="B81:B97" si="32">+B55</f>
        <v>gas</v>
      </c>
      <c r="C81" s="30">
        <f t="shared" ref="C81:L81" si="33">(C$47/C$48)*C30/C$47</f>
        <v>4.6144184285086551E-3</v>
      </c>
      <c r="D81" s="30">
        <f t="shared" si="33"/>
        <v>4.6786772419905266E-3</v>
      </c>
      <c r="E81" s="30">
        <f t="shared" si="33"/>
        <v>4.5340691113521236E-3</v>
      </c>
      <c r="F81" s="30">
        <f t="shared" si="33"/>
        <v>4.2021735569763583E-3</v>
      </c>
      <c r="G81" s="30">
        <f t="shared" si="33"/>
        <v>4.1435583317110244E-3</v>
      </c>
      <c r="H81" s="30">
        <f t="shared" si="33"/>
        <v>4.0376309894542516E-3</v>
      </c>
      <c r="I81" s="30">
        <f t="shared" si="33"/>
        <v>3.8497463664615454E-3</v>
      </c>
      <c r="J81" s="30">
        <f t="shared" si="33"/>
        <v>3.4832874380785542E-3</v>
      </c>
      <c r="K81" s="30">
        <f t="shared" si="33"/>
        <v>3.3022003966808088E-3</v>
      </c>
      <c r="L81" s="30">
        <f t="shared" si="33"/>
        <v>2.8015352492092973E-3</v>
      </c>
      <c r="M81" s="29"/>
      <c r="Q81" t="str">
        <f t="shared" ref="Q81:Q97" si="34">+B81</f>
        <v>gas</v>
      </c>
      <c r="R81" s="30">
        <f t="shared" ref="R81:AA81" si="35">($M30/$N30)*C30/$M30</f>
        <v>7.5169742303123357E-2</v>
      </c>
      <c r="S81" s="30">
        <f t="shared" si="35"/>
        <v>8.1547096060141211E-2</v>
      </c>
      <c r="T81" s="30">
        <f t="shared" si="35"/>
        <v>8.7929427276292466E-2</v>
      </c>
      <c r="U81" s="30">
        <f t="shared" si="35"/>
        <v>9.0123375741555156E-2</v>
      </c>
      <c r="V81" s="30">
        <f t="shared" si="35"/>
        <v>9.5371119938171184E-2</v>
      </c>
      <c r="W81" s="30">
        <f t="shared" si="35"/>
        <v>0.10113677509514173</v>
      </c>
      <c r="X81" s="30">
        <f t="shared" si="35"/>
        <v>0.10451232487666198</v>
      </c>
      <c r="Y81" s="30">
        <f t="shared" si="35"/>
        <v>0.10773348934180581</v>
      </c>
      <c r="Z81" s="30">
        <f t="shared" si="35"/>
        <v>0.11731162166984735</v>
      </c>
      <c r="AA81" s="30">
        <f t="shared" si="35"/>
        <v>0.13916502769725989</v>
      </c>
      <c r="AB81" s="29"/>
    </row>
    <row r="82" spans="2:28">
      <c r="B82" t="str">
        <f t="shared" si="32"/>
        <v>ppp</v>
      </c>
      <c r="C82" s="30">
        <f t="shared" ref="C82:L82" si="36">(C$47/C$48)*C31/C$47</f>
        <v>2.1216016071206271E-2</v>
      </c>
      <c r="D82" s="30">
        <f t="shared" si="36"/>
        <v>2.3008360279609733E-2</v>
      </c>
      <c r="E82" s="30">
        <f t="shared" si="36"/>
        <v>2.2711419949282618E-2</v>
      </c>
      <c r="F82" s="30">
        <f t="shared" si="36"/>
        <v>2.3532936731687871E-2</v>
      </c>
      <c r="G82" s="30">
        <f t="shared" si="36"/>
        <v>2.2797223979637259E-2</v>
      </c>
      <c r="H82" s="30">
        <f t="shared" si="36"/>
        <v>2.3506237005432702E-2</v>
      </c>
      <c r="I82" s="30">
        <f t="shared" si="36"/>
        <v>2.2899000567750748E-2</v>
      </c>
      <c r="J82" s="30">
        <f t="shared" si="36"/>
        <v>2.2592851494561823E-2</v>
      </c>
      <c r="K82" s="30">
        <f t="shared" si="36"/>
        <v>2.2015299402239032E-2</v>
      </c>
      <c r="L82" s="30">
        <f t="shared" si="36"/>
        <v>2.0700115517429792E-2</v>
      </c>
      <c r="M82" s="29"/>
      <c r="Q82" t="str">
        <f t="shared" si="34"/>
        <v>ppp</v>
      </c>
      <c r="R82" s="30">
        <f t="shared" ref="R82:AA82" si="37">($M31/$N31)*C31/$M31</f>
        <v>5.8222238371510499E-2</v>
      </c>
      <c r="S82" s="30">
        <f t="shared" si="37"/>
        <v>6.7556953538875641E-2</v>
      </c>
      <c r="T82" s="30">
        <f t="shared" si="37"/>
        <v>7.4197516758555432E-2</v>
      </c>
      <c r="U82" s="30">
        <f t="shared" si="37"/>
        <v>8.5023419264945069E-2</v>
      </c>
      <c r="V82" s="30">
        <f t="shared" si="37"/>
        <v>8.8394321309209864E-2</v>
      </c>
      <c r="W82" s="30">
        <f t="shared" si="37"/>
        <v>9.9189239635733659E-2</v>
      </c>
      <c r="X82" s="30">
        <f t="shared" si="37"/>
        <v>0.10472512632162372</v>
      </c>
      <c r="Y82" s="30">
        <f t="shared" si="37"/>
        <v>0.11771489902393645</v>
      </c>
      <c r="Z82" s="30">
        <f t="shared" si="37"/>
        <v>0.1317532033958019</v>
      </c>
      <c r="AA82" s="30">
        <f t="shared" si="37"/>
        <v>0.17322308237980782</v>
      </c>
      <c r="AB82" s="29"/>
    </row>
    <row r="83" spans="2:28">
      <c r="B83" t="str">
        <f t="shared" si="32"/>
        <v>nmm</v>
      </c>
      <c r="C83" s="30">
        <f t="shared" ref="C83:L83" si="38">(C$47/C$48)*C32/C$47</f>
        <v>3.1075655314296434E-3</v>
      </c>
      <c r="D83" s="30">
        <f t="shared" si="38"/>
        <v>3.7231187612095499E-3</v>
      </c>
      <c r="E83" s="30">
        <f t="shared" si="38"/>
        <v>4.1816879854006473E-3</v>
      </c>
      <c r="F83" s="30">
        <f t="shared" si="38"/>
        <v>4.5740440814709855E-3</v>
      </c>
      <c r="G83" s="30">
        <f t="shared" si="38"/>
        <v>4.8208433235681159E-3</v>
      </c>
      <c r="H83" s="30">
        <f t="shared" si="38"/>
        <v>4.7426970921162978E-3</v>
      </c>
      <c r="I83" s="30">
        <f t="shared" si="38"/>
        <v>4.6510737462152696E-3</v>
      </c>
      <c r="J83" s="30">
        <f t="shared" si="38"/>
        <v>4.3706665286999107E-3</v>
      </c>
      <c r="K83" s="30">
        <f t="shared" si="38"/>
        <v>4.3714660083993395E-3</v>
      </c>
      <c r="L83" s="30">
        <f t="shared" si="38"/>
        <v>3.6819878254087945E-3</v>
      </c>
      <c r="M83" s="29"/>
      <c r="Q83" t="str">
        <f t="shared" si="34"/>
        <v>nmm</v>
      </c>
      <c r="R83" s="30">
        <f t="shared" ref="R83:AA83" si="39">($M32/$N32)*C32/$M32</f>
        <v>4.5033635405866045E-2</v>
      </c>
      <c r="S83" s="30">
        <f t="shared" si="39"/>
        <v>5.772752351896341E-2</v>
      </c>
      <c r="T83" s="30">
        <f t="shared" si="39"/>
        <v>7.2142029755927081E-2</v>
      </c>
      <c r="U83" s="30">
        <f t="shared" si="39"/>
        <v>8.7267881721407592E-2</v>
      </c>
      <c r="V83" s="30">
        <f t="shared" si="39"/>
        <v>9.8709071370280663E-2</v>
      </c>
      <c r="W83" s="30">
        <f t="shared" si="39"/>
        <v>0.10568138292308389</v>
      </c>
      <c r="X83" s="30">
        <f t="shared" si="39"/>
        <v>0.11232572750613047</v>
      </c>
      <c r="Y83" s="30">
        <f t="shared" si="39"/>
        <v>0.12025404905054736</v>
      </c>
      <c r="Z83" s="30">
        <f t="shared" si="39"/>
        <v>0.13815141654867449</v>
      </c>
      <c r="AA83" s="30">
        <f t="shared" si="39"/>
        <v>0.16270728219911892</v>
      </c>
      <c r="AB83" s="29"/>
    </row>
    <row r="84" spans="2:28">
      <c r="B84" t="str">
        <f t="shared" si="32"/>
        <v>nfm</v>
      </c>
      <c r="C84" s="30">
        <f t="shared" ref="C84:L84" si="40">(C$47/C$48)*C33/C$47</f>
        <v>9.8547161314179981E-6</v>
      </c>
      <c r="D84" s="30">
        <f t="shared" si="40"/>
        <v>1.2535512126142459E-5</v>
      </c>
      <c r="E84" s="30">
        <f t="shared" si="40"/>
        <v>1.3903464669519293E-5</v>
      </c>
      <c r="F84" s="30">
        <f t="shared" si="40"/>
        <v>1.6057641473532403E-5</v>
      </c>
      <c r="G84" s="30">
        <f t="shared" si="40"/>
        <v>1.9271439335047775E-5</v>
      </c>
      <c r="H84" s="30">
        <f t="shared" si="40"/>
        <v>1.935600110049069E-5</v>
      </c>
      <c r="I84" s="30">
        <f t="shared" si="40"/>
        <v>1.7948499967028405E-5</v>
      </c>
      <c r="J84" s="30">
        <f t="shared" si="40"/>
        <v>1.6306884920486934E-5</v>
      </c>
      <c r="K84" s="30">
        <f t="shared" si="40"/>
        <v>1.6780781405294567E-5</v>
      </c>
      <c r="L84" s="30">
        <f t="shared" si="40"/>
        <v>1.3464639665589933E-5</v>
      </c>
      <c r="M84" s="29"/>
      <c r="Q84" t="str">
        <f t="shared" si="34"/>
        <v>nfm</v>
      </c>
      <c r="R84" s="30">
        <f t="shared" ref="R84:AA84" si="41">($M33/$N33)*C33/$M33</f>
        <v>3.8423467654113551E-2</v>
      </c>
      <c r="S84" s="30">
        <f t="shared" si="41"/>
        <v>5.2294238666017547E-2</v>
      </c>
      <c r="T84" s="30">
        <f t="shared" si="41"/>
        <v>6.4535026983492699E-2</v>
      </c>
      <c r="U84" s="30">
        <f t="shared" si="41"/>
        <v>8.2427394414979441E-2</v>
      </c>
      <c r="V84" s="30">
        <f t="shared" si="41"/>
        <v>0.10616562658921808</v>
      </c>
      <c r="W84" s="30">
        <f t="shared" si="41"/>
        <v>0.11604447393163872</v>
      </c>
      <c r="X84" s="30">
        <f t="shared" si="41"/>
        <v>0.11662452801835359</v>
      </c>
      <c r="Y84" s="30">
        <f t="shared" si="41"/>
        <v>0.12071431343360739</v>
      </c>
      <c r="Z84" s="30">
        <f t="shared" si="41"/>
        <v>0.14268428483700091</v>
      </c>
      <c r="AA84" s="30">
        <f t="shared" si="41"/>
        <v>0.16008664547157819</v>
      </c>
      <c r="AB84" s="29"/>
    </row>
    <row r="85" spans="2:28">
      <c r="B85" t="str">
        <f t="shared" si="32"/>
        <v>mvh</v>
      </c>
      <c r="C85" s="30">
        <f t="shared" ref="C85:L85" si="42">(C$47/C$48)*C34/C$47</f>
        <v>1.9274513813527672E-2</v>
      </c>
      <c r="D85" s="30">
        <f t="shared" si="42"/>
        <v>2.1219402556149805E-2</v>
      </c>
      <c r="E85" s="30">
        <f t="shared" si="42"/>
        <v>2.8804495162609755E-2</v>
      </c>
      <c r="F85" s="30">
        <f t="shared" si="42"/>
        <v>4.1708223212611313E-2</v>
      </c>
      <c r="G85" s="30">
        <f t="shared" si="42"/>
        <v>4.1882276668678504E-2</v>
      </c>
      <c r="H85" s="30">
        <f t="shared" si="42"/>
        <v>4.5871669232463122E-2</v>
      </c>
      <c r="I85" s="30">
        <f t="shared" si="42"/>
        <v>4.358342122024441E-2</v>
      </c>
      <c r="J85" s="30">
        <f t="shared" si="42"/>
        <v>6.337196451226082E-2</v>
      </c>
      <c r="K85" s="30">
        <f t="shared" si="42"/>
        <v>6.7153088974215416E-2</v>
      </c>
      <c r="L85" s="30">
        <f t="shared" si="42"/>
        <v>8.9952608444485438E-2</v>
      </c>
      <c r="M85" s="29"/>
      <c r="Q85" t="str">
        <f t="shared" si="34"/>
        <v>mvh</v>
      </c>
      <c r="R85" s="30">
        <f t="shared" ref="R85:AA85" si="43">($M34/$N34)*C34/$M34</f>
        <v>2.2038468258217789E-2</v>
      </c>
      <c r="S85" s="30">
        <f t="shared" si="43"/>
        <v>2.5959149030925634E-2</v>
      </c>
      <c r="T85" s="30">
        <f t="shared" si="43"/>
        <v>3.9208322604389501E-2</v>
      </c>
      <c r="U85" s="30">
        <f t="shared" si="43"/>
        <v>6.278516505865224E-2</v>
      </c>
      <c r="V85" s="30">
        <f t="shared" si="43"/>
        <v>6.766211873301349E-2</v>
      </c>
      <c r="W85" s="30">
        <f t="shared" si="43"/>
        <v>8.0648985086999511E-2</v>
      </c>
      <c r="X85" s="30">
        <f t="shared" si="43"/>
        <v>8.3047888631852612E-2</v>
      </c>
      <c r="Y85" s="30">
        <f t="shared" si="43"/>
        <v>0.13757213244165922</v>
      </c>
      <c r="Z85" s="30">
        <f t="shared" si="43"/>
        <v>0.16744627618283275</v>
      </c>
      <c r="AA85" s="30">
        <f t="shared" si="43"/>
        <v>0.31363149397145718</v>
      </c>
      <c r="AB85" s="29"/>
    </row>
    <row r="86" spans="2:28">
      <c r="B86" t="str">
        <f t="shared" si="32"/>
        <v>ele</v>
      </c>
      <c r="C86" s="30">
        <f t="shared" ref="C86:L86" si="44">(C$47/C$48)*C35/C$47</f>
        <v>2.2782916580446417E-2</v>
      </c>
      <c r="D86" s="30">
        <f t="shared" si="44"/>
        <v>2.0865399085334611E-2</v>
      </c>
      <c r="E86" s="30">
        <f t="shared" si="44"/>
        <v>1.9341592445134646E-2</v>
      </c>
      <c r="F86" s="30">
        <f t="shared" si="44"/>
        <v>1.692399243728962E-2</v>
      </c>
      <c r="G86" s="30">
        <f t="shared" si="44"/>
        <v>1.650545173422183E-2</v>
      </c>
      <c r="H86" s="30">
        <f t="shared" si="44"/>
        <v>1.5501066547426412E-2</v>
      </c>
      <c r="I86" s="30">
        <f t="shared" si="44"/>
        <v>1.4652793364266324E-2</v>
      </c>
      <c r="J86" s="30">
        <f t="shared" si="44"/>
        <v>1.3123005907421862E-2</v>
      </c>
      <c r="K86" s="30">
        <f t="shared" si="44"/>
        <v>1.1762599306709367E-2</v>
      </c>
      <c r="L86" s="30">
        <f t="shared" si="44"/>
        <v>9.0427334635149858E-3</v>
      </c>
      <c r="M86" s="29"/>
      <c r="Q86" t="str">
        <f t="shared" si="34"/>
        <v>ele</v>
      </c>
      <c r="R86" s="30">
        <f t="shared" ref="R86:AA86" si="45">($M35/$N35)*C35/$M35</f>
        <v>9.4876919473342577E-2</v>
      </c>
      <c r="S86" s="30">
        <f t="shared" si="45"/>
        <v>9.2968810949097536E-2</v>
      </c>
      <c r="T86" s="30">
        <f t="shared" si="45"/>
        <v>9.5887832925954597E-2</v>
      </c>
      <c r="U86" s="30">
        <f t="shared" si="45"/>
        <v>9.2787923284935347E-2</v>
      </c>
      <c r="V86" s="30">
        <f t="shared" si="45"/>
        <v>9.7117167519111564E-2</v>
      </c>
      <c r="W86" s="30">
        <f t="shared" si="45"/>
        <v>9.9258846547528423E-2</v>
      </c>
      <c r="X86" s="30">
        <f t="shared" si="45"/>
        <v>0.10169064060071537</v>
      </c>
      <c r="Y86" s="30">
        <f t="shared" si="45"/>
        <v>0.1037575967700459</v>
      </c>
      <c r="Z86" s="30">
        <f t="shared" si="45"/>
        <v>0.10682332288469287</v>
      </c>
      <c r="AA86" s="30">
        <f t="shared" si="45"/>
        <v>0.114830939044576</v>
      </c>
      <c r="AB86" s="29"/>
    </row>
    <row r="87" spans="2:28">
      <c r="B87" t="str">
        <f t="shared" si="32"/>
        <v>COL</v>
      </c>
      <c r="C87" s="30">
        <f t="shared" ref="C87:L87" si="46">(C$47/C$48)*C36/C$47</f>
        <v>1.9302434674849759E-4</v>
      </c>
      <c r="D87" s="30">
        <f t="shared" si="46"/>
        <v>1.5285044307775355E-4</v>
      </c>
      <c r="E87" s="30">
        <f t="shared" si="46"/>
        <v>1.2880609322755049E-4</v>
      </c>
      <c r="F87" s="30">
        <f t="shared" si="46"/>
        <v>1.1096867634619032E-4</v>
      </c>
      <c r="G87" s="30">
        <f t="shared" si="46"/>
        <v>1.2142338264159374E-4</v>
      </c>
      <c r="H87" s="30">
        <f t="shared" si="46"/>
        <v>1.1744076424056034E-4</v>
      </c>
      <c r="I87" s="30">
        <f t="shared" si="46"/>
        <v>1.1374486915419295E-4</v>
      </c>
      <c r="J87" s="30">
        <f t="shared" si="46"/>
        <v>1.0126841906363615E-4</v>
      </c>
      <c r="K87" s="30">
        <f t="shared" si="46"/>
        <v>8.4091514626702857E-5</v>
      </c>
      <c r="L87" s="30">
        <f t="shared" si="46"/>
        <v>6.0325892753235788E-5</v>
      </c>
      <c r="M87" s="29"/>
      <c r="Q87" t="str">
        <f t="shared" si="34"/>
        <v>COL</v>
      </c>
      <c r="R87" s="30">
        <f t="shared" ref="R87:AA87" si="47">($M36/$N36)*C36/$M36</f>
        <v>0.10984070397766538</v>
      </c>
      <c r="S87" s="30">
        <f t="shared" si="47"/>
        <v>9.3063041849968414E-2</v>
      </c>
      <c r="T87" s="30">
        <f t="shared" si="47"/>
        <v>8.7258480260182403E-2</v>
      </c>
      <c r="U87" s="30">
        <f t="shared" si="47"/>
        <v>8.3135975852388799E-2</v>
      </c>
      <c r="V87" s="30">
        <f t="shared" si="47"/>
        <v>9.7627210616272497E-2</v>
      </c>
      <c r="W87" s="30">
        <f t="shared" si="47"/>
        <v>0.10276056255854815</v>
      </c>
      <c r="X87" s="30">
        <f t="shared" si="47"/>
        <v>0.10786792747790087</v>
      </c>
      <c r="Y87" s="30">
        <f t="shared" si="47"/>
        <v>0.1094108950580535</v>
      </c>
      <c r="Z87" s="30">
        <f t="shared" si="47"/>
        <v>0.10435539735368926</v>
      </c>
      <c r="AA87" s="30">
        <f t="shared" si="47"/>
        <v>0.10467980499533056</v>
      </c>
      <c r="AB87" s="29"/>
    </row>
    <row r="88" spans="2:28">
      <c r="B88" t="str">
        <f t="shared" si="32"/>
        <v>CRU</v>
      </c>
      <c r="C88" s="30">
        <f t="shared" ref="C88:L88" si="48">(C$47/C$48)*C37/C$47</f>
        <v>2.6018380203244851E-5</v>
      </c>
      <c r="D88" s="30">
        <f t="shared" si="48"/>
        <v>2.4407944516225179E-5</v>
      </c>
      <c r="E88" s="30">
        <f t="shared" si="48"/>
        <v>2.4922573606273875E-5</v>
      </c>
      <c r="F88" s="30">
        <f t="shared" si="48"/>
        <v>2.5833146649321733E-5</v>
      </c>
      <c r="G88" s="30">
        <f t="shared" si="48"/>
        <v>2.5472979026984573E-5</v>
      </c>
      <c r="H88" s="30">
        <f t="shared" si="48"/>
        <v>2.3923437381315391E-5</v>
      </c>
      <c r="I88" s="30">
        <f t="shared" si="48"/>
        <v>2.4962470953506295E-5</v>
      </c>
      <c r="J88" s="30">
        <f t="shared" si="48"/>
        <v>2.1849222220581916E-5</v>
      </c>
      <c r="K88" s="30">
        <f t="shared" si="48"/>
        <v>2.0628855383422652E-5</v>
      </c>
      <c r="L88" s="30">
        <f t="shared" si="48"/>
        <v>1.6691790327522729E-5</v>
      </c>
      <c r="M88" s="29"/>
      <c r="Q88" t="str">
        <f t="shared" si="34"/>
        <v>CRU</v>
      </c>
      <c r="R88" s="30">
        <f t="shared" ref="R88:AA88" si="49">($M37/$N37)*C37/$M37</f>
        <v>7.0786686299761592E-2</v>
      </c>
      <c r="S88" s="30">
        <f t="shared" si="49"/>
        <v>7.1049636369239444E-2</v>
      </c>
      <c r="T88" s="30">
        <f t="shared" si="49"/>
        <v>8.0720572707466201E-2</v>
      </c>
      <c r="U88" s="30">
        <f t="shared" si="49"/>
        <v>9.2530735218411916E-2</v>
      </c>
      <c r="V88" s="30">
        <f t="shared" si="49"/>
        <v>9.7919322954166305E-2</v>
      </c>
      <c r="W88" s="30">
        <f t="shared" si="49"/>
        <v>0.10008092142046492</v>
      </c>
      <c r="X88" s="30">
        <f t="shared" si="49"/>
        <v>0.11317961231309473</v>
      </c>
      <c r="Y88" s="30">
        <f t="shared" si="49"/>
        <v>0.11286067228108038</v>
      </c>
      <c r="Z88" s="30">
        <f t="shared" si="49"/>
        <v>0.12239339535667529</v>
      </c>
      <c r="AA88" s="30">
        <f t="shared" si="49"/>
        <v>0.13847844507963944</v>
      </c>
      <c r="AB88" s="29"/>
    </row>
    <row r="89" spans="2:28">
      <c r="B89" t="str">
        <f t="shared" si="32"/>
        <v>CHM</v>
      </c>
      <c r="C89" s="30">
        <f t="shared" ref="C89:L89" si="50">(C$47/C$48)*C38/C$47</f>
        <v>2.7402211921715294E-2</v>
      </c>
      <c r="D89" s="30">
        <f t="shared" si="50"/>
        <v>3.0669001908049439E-2</v>
      </c>
      <c r="E89" s="30">
        <f t="shared" si="50"/>
        <v>3.1396174252124216E-2</v>
      </c>
      <c r="F89" s="30">
        <f t="shared" si="50"/>
        <v>3.2324761237103712E-2</v>
      </c>
      <c r="G89" s="30">
        <f t="shared" si="50"/>
        <v>3.2631223705716611E-2</v>
      </c>
      <c r="H89" s="30">
        <f t="shared" si="50"/>
        <v>3.3459631041095984E-2</v>
      </c>
      <c r="I89" s="30">
        <f t="shared" si="50"/>
        <v>3.333027811976684E-2</v>
      </c>
      <c r="J89" s="30">
        <f t="shared" si="50"/>
        <v>3.1499665899156294E-2</v>
      </c>
      <c r="K89" s="30">
        <f t="shared" si="50"/>
        <v>2.902304754769941E-2</v>
      </c>
      <c r="L89" s="30">
        <f t="shared" si="50"/>
        <v>2.4221512928925361E-2</v>
      </c>
      <c r="M89" s="29"/>
      <c r="Q89" t="str">
        <f t="shared" si="34"/>
        <v>CHM</v>
      </c>
      <c r="R89" s="30">
        <f t="shared" ref="R89:AA89" si="51">($M38/$N38)*C38/$M38</f>
        <v>5.5899174624337335E-2</v>
      </c>
      <c r="S89" s="30">
        <f t="shared" si="51"/>
        <v>6.6938926398086213E-2</v>
      </c>
      <c r="T89" s="30">
        <f t="shared" si="51"/>
        <v>7.6245905406735398E-2</v>
      </c>
      <c r="U89" s="30">
        <f t="shared" si="51"/>
        <v>8.6814541762722172E-2</v>
      </c>
      <c r="V89" s="30">
        <f t="shared" si="51"/>
        <v>9.4052527828490232E-2</v>
      </c>
      <c r="W89" s="30">
        <f t="shared" si="51"/>
        <v>0.1049535928898364</v>
      </c>
      <c r="X89" s="30">
        <f t="shared" si="51"/>
        <v>0.11330994140449654</v>
      </c>
      <c r="Y89" s="30">
        <f t="shared" si="51"/>
        <v>0.12200034156957833</v>
      </c>
      <c r="Z89" s="30">
        <f t="shared" si="51"/>
        <v>0.12911429042901743</v>
      </c>
      <c r="AA89" s="30">
        <f t="shared" si="51"/>
        <v>0.15067075768670007</v>
      </c>
      <c r="AB89" s="29"/>
    </row>
    <row r="90" spans="2:28">
      <c r="B90" t="str">
        <f t="shared" si="32"/>
        <v>IRS</v>
      </c>
      <c r="C90" s="30">
        <f t="shared" ref="C90:L90" si="52">(C$47/C$48)*C39/C$47</f>
        <v>1.862201077575627E-6</v>
      </c>
      <c r="D90" s="30">
        <f t="shared" si="52"/>
        <v>2.3687789559805343E-6</v>
      </c>
      <c r="E90" s="30">
        <f t="shared" si="52"/>
        <v>2.6272747529550628E-6</v>
      </c>
      <c r="F90" s="30">
        <f t="shared" si="52"/>
        <v>3.0343397878303395E-6</v>
      </c>
      <c r="G90" s="30">
        <f t="shared" si="52"/>
        <v>3.6416366151579263E-6</v>
      </c>
      <c r="H90" s="30">
        <f t="shared" si="52"/>
        <v>3.6576158690125825E-6</v>
      </c>
      <c r="I90" s="30">
        <f t="shared" si="52"/>
        <v>3.3916467540762188E-6</v>
      </c>
      <c r="J90" s="30">
        <f t="shared" si="52"/>
        <v>3.0814381932341892E-6</v>
      </c>
      <c r="K90" s="30">
        <f t="shared" si="52"/>
        <v>3.1709882657983894E-6</v>
      </c>
      <c r="L90" s="30">
        <f t="shared" si="52"/>
        <v>2.5443519793016311E-6</v>
      </c>
      <c r="M90" s="29"/>
      <c r="Q90" t="str">
        <f t="shared" si="34"/>
        <v>IRS</v>
      </c>
      <c r="R90" s="30">
        <f t="shared" ref="R90:AA90" si="53">($M39/$N39)*C39/$M39</f>
        <v>3.8423467654113558E-2</v>
      </c>
      <c r="S90" s="30">
        <f t="shared" si="53"/>
        <v>5.2294238666017623E-2</v>
      </c>
      <c r="T90" s="30">
        <f t="shared" si="53"/>
        <v>6.4535026983492741E-2</v>
      </c>
      <c r="U90" s="30">
        <f t="shared" si="53"/>
        <v>8.2427394414979441E-2</v>
      </c>
      <c r="V90" s="30">
        <f t="shared" si="53"/>
        <v>0.10616562658921798</v>
      </c>
      <c r="W90" s="30">
        <f t="shared" si="53"/>
        <v>0.11604447393163869</v>
      </c>
      <c r="X90" s="30">
        <f t="shared" si="53"/>
        <v>0.11662452801835363</v>
      </c>
      <c r="Y90" s="30">
        <f t="shared" si="53"/>
        <v>0.12071431343360738</v>
      </c>
      <c r="Z90" s="30">
        <f t="shared" si="53"/>
        <v>0.14268428483700088</v>
      </c>
      <c r="AA90" s="30">
        <f t="shared" si="53"/>
        <v>0.16008664547157819</v>
      </c>
      <c r="AB90" s="29"/>
    </row>
    <row r="91" spans="2:28">
      <c r="B91" t="str">
        <f t="shared" si="32"/>
        <v>MAC</v>
      </c>
      <c r="C91" s="30">
        <f t="shared" ref="C91:L91" si="54">(C$47/C$48)*C40/C$47</f>
        <v>2.0986036737974421E-2</v>
      </c>
      <c r="D91" s="30">
        <f t="shared" si="54"/>
        <v>2.4738306381724209E-2</v>
      </c>
      <c r="E91" s="30">
        <f t="shared" si="54"/>
        <v>3.0046579787622287E-2</v>
      </c>
      <c r="F91" s="30">
        <f t="shared" si="54"/>
        <v>3.4943786792334307E-2</v>
      </c>
      <c r="G91" s="30">
        <f t="shared" si="54"/>
        <v>3.5591705393909233E-2</v>
      </c>
      <c r="H91" s="30">
        <f t="shared" si="54"/>
        <v>3.7591329397488348E-2</v>
      </c>
      <c r="I91" s="30">
        <f t="shared" si="54"/>
        <v>3.7523373221345545E-2</v>
      </c>
      <c r="J91" s="30">
        <f t="shared" si="54"/>
        <v>4.4200362322648547E-2</v>
      </c>
      <c r="K91" s="30">
        <f t="shared" si="54"/>
        <v>4.5037734995047131E-2</v>
      </c>
      <c r="L91" s="30">
        <f t="shared" si="54"/>
        <v>5.1218187915567981E-2</v>
      </c>
      <c r="M91" s="29"/>
      <c r="Q91" t="str">
        <f t="shared" si="34"/>
        <v>MAC</v>
      </c>
      <c r="R91" s="30">
        <f t="shared" ref="R91:AA91" si="55">($M40/$N40)*C40/$M40</f>
        <v>3.2884609083791573E-2</v>
      </c>
      <c r="S91" s="30">
        <f t="shared" si="55"/>
        <v>4.1475491769644574E-2</v>
      </c>
      <c r="T91" s="30">
        <f t="shared" si="55"/>
        <v>5.6050219606042707E-2</v>
      </c>
      <c r="U91" s="30">
        <f t="shared" si="55"/>
        <v>7.2089099153625255E-2</v>
      </c>
      <c r="V91" s="30">
        <f t="shared" si="55"/>
        <v>7.8800394170680521E-2</v>
      </c>
      <c r="W91" s="30">
        <f t="shared" si="55"/>
        <v>9.0574579696175828E-2</v>
      </c>
      <c r="X91" s="30">
        <f t="shared" si="55"/>
        <v>9.7988121155548585E-2</v>
      </c>
      <c r="Y91" s="30">
        <f t="shared" si="55"/>
        <v>0.13149929019275641</v>
      </c>
      <c r="Z91" s="30">
        <f t="shared" si="55"/>
        <v>0.1539041464915091</v>
      </c>
      <c r="AA91" s="30">
        <f t="shared" si="55"/>
        <v>0.24473404868022547</v>
      </c>
      <c r="AB91" s="29"/>
    </row>
    <row r="92" spans="2:28">
      <c r="B92" t="str">
        <f t="shared" si="32"/>
        <v>FOT</v>
      </c>
      <c r="C92" s="30">
        <f t="shared" ref="C92:L92" si="56">(C$47/C$48)*C41/C$47</f>
        <v>0.15415712703461726</v>
      </c>
      <c r="D92" s="30">
        <f t="shared" si="56"/>
        <v>0.15062195510372034</v>
      </c>
      <c r="E92" s="30">
        <f t="shared" si="56"/>
        <v>0.14582742731045281</v>
      </c>
      <c r="F92" s="30">
        <f t="shared" si="56"/>
        <v>0.13458575203906936</v>
      </c>
      <c r="G92" s="30">
        <f t="shared" si="56"/>
        <v>0.13170162981517144</v>
      </c>
      <c r="H92" s="30">
        <f t="shared" si="56"/>
        <v>0.12411079154864933</v>
      </c>
      <c r="I92" s="30">
        <f t="shared" si="56"/>
        <v>0.11924326303762972</v>
      </c>
      <c r="J92" s="30">
        <f t="shared" si="56"/>
        <v>0.10653891564614966</v>
      </c>
      <c r="K92" s="30">
        <f t="shared" si="56"/>
        <v>9.3232699760998017E-2</v>
      </c>
      <c r="L92" s="30">
        <f t="shared" si="56"/>
        <v>7.1857266784717946E-2</v>
      </c>
      <c r="M92" s="29"/>
      <c r="Q92" t="str">
        <f t="shared" si="34"/>
        <v>FOT</v>
      </c>
      <c r="R92" s="30">
        <f t="shared" ref="R92:AA92" si="57">($M41/$N41)*C41/$M41</f>
        <v>8.2593187868086601E-2</v>
      </c>
      <c r="S92" s="30">
        <f t="shared" si="57"/>
        <v>8.6343217265409403E-2</v>
      </c>
      <c r="T92" s="30">
        <f t="shared" si="57"/>
        <v>9.3012186893434309E-2</v>
      </c>
      <c r="U92" s="30">
        <f t="shared" si="57"/>
        <v>9.4932973374489069E-2</v>
      </c>
      <c r="V92" s="30">
        <f t="shared" si="57"/>
        <v>9.96986109805124E-2</v>
      </c>
      <c r="W92" s="30">
        <f t="shared" si="57"/>
        <v>0.10224605361846024</v>
      </c>
      <c r="X92" s="30">
        <f t="shared" si="57"/>
        <v>0.10646914722643933</v>
      </c>
      <c r="Y92" s="30">
        <f t="shared" si="57"/>
        <v>0.10837377905461126</v>
      </c>
      <c r="Z92" s="30">
        <f t="shared" si="57"/>
        <v>0.1089332362958174</v>
      </c>
      <c r="AA92" s="30">
        <f t="shared" si="57"/>
        <v>0.11739760742273998</v>
      </c>
      <c r="AB92" s="29"/>
    </row>
    <row r="93" spans="2:28">
      <c r="B93" t="str">
        <f t="shared" si="32"/>
        <v>ROI</v>
      </c>
      <c r="C93" s="30">
        <f t="shared" ref="C93:L93" si="58">(C$47/C$48)*C42/C$47</f>
        <v>6.7684749707688688E-2</v>
      </c>
      <c r="D93" s="30">
        <f t="shared" si="58"/>
        <v>7.6418887105470651E-2</v>
      </c>
      <c r="E93" s="30">
        <f t="shared" si="58"/>
        <v>8.092822863873686E-2</v>
      </c>
      <c r="F93" s="30">
        <f t="shared" si="58"/>
        <v>8.6197151125990468E-2</v>
      </c>
      <c r="G93" s="30">
        <f t="shared" si="58"/>
        <v>8.8099042281659087E-2</v>
      </c>
      <c r="H93" s="30">
        <f t="shared" si="58"/>
        <v>9.0674832376408679E-2</v>
      </c>
      <c r="I93" s="30">
        <f t="shared" si="58"/>
        <v>9.3559611758681369E-2</v>
      </c>
      <c r="J93" s="30">
        <f t="shared" si="58"/>
        <v>9.0112309047302441E-2</v>
      </c>
      <c r="K93" s="30">
        <f t="shared" si="58"/>
        <v>8.8804041930233849E-2</v>
      </c>
      <c r="L93" s="30">
        <f t="shared" si="58"/>
        <v>8.4153339960655937E-2</v>
      </c>
      <c r="M93" s="29"/>
      <c r="Q93" t="str">
        <f t="shared" si="34"/>
        <v>ROI</v>
      </c>
      <c r="R93" s="30">
        <f t="shared" ref="R93:AA93" si="59">($M42/$N42)*C42/$M42</f>
        <v>4.833041759968057E-2</v>
      </c>
      <c r="S93" s="30">
        <f t="shared" si="59"/>
        <v>5.8383449974084525E-2</v>
      </c>
      <c r="T93" s="30">
        <f t="shared" si="59"/>
        <v>6.8793875413130159E-2</v>
      </c>
      <c r="U93" s="30">
        <f t="shared" si="59"/>
        <v>8.1032643993080314E-2</v>
      </c>
      <c r="V93" s="30">
        <f t="shared" si="59"/>
        <v>8.8882905916570651E-2</v>
      </c>
      <c r="W93" s="30">
        <f t="shared" si="59"/>
        <v>9.9557244958541458E-2</v>
      </c>
      <c r="X93" s="30">
        <f t="shared" si="59"/>
        <v>0.11133390295520612</v>
      </c>
      <c r="Y93" s="30">
        <f t="shared" si="59"/>
        <v>0.12216566492257412</v>
      </c>
      <c r="Z93" s="30">
        <f t="shared" si="59"/>
        <v>0.13828465116168845</v>
      </c>
      <c r="AA93" s="30">
        <f t="shared" si="59"/>
        <v>0.18323524310544378</v>
      </c>
      <c r="AB93" s="29"/>
    </row>
    <row r="94" spans="2:28">
      <c r="B94" t="str">
        <f t="shared" si="32"/>
        <v>BUI</v>
      </c>
      <c r="C94" s="30">
        <f t="shared" ref="C94:L94" si="60">(C$47/C$48)*C43/C$47</f>
        <v>1.4728498354004865E-3</v>
      </c>
      <c r="D94" s="30">
        <f t="shared" si="60"/>
        <v>1.6197076366287202E-3</v>
      </c>
      <c r="E94" s="30">
        <f t="shared" si="60"/>
        <v>1.8617498227466876E-3</v>
      </c>
      <c r="F94" s="30">
        <f t="shared" si="60"/>
        <v>2.4324255940655778E-3</v>
      </c>
      <c r="G94" s="30">
        <f t="shared" si="60"/>
        <v>2.9389822758766207E-3</v>
      </c>
      <c r="H94" s="30">
        <f t="shared" si="60"/>
        <v>2.6839759629698704E-3</v>
      </c>
      <c r="I94" s="30">
        <f t="shared" si="60"/>
        <v>2.8216320376533203E-3</v>
      </c>
      <c r="J94" s="30">
        <f t="shared" si="60"/>
        <v>2.970994173296858E-3</v>
      </c>
      <c r="K94" s="30">
        <f t="shared" si="60"/>
        <v>3.3264103958124316E-3</v>
      </c>
      <c r="L94" s="30">
        <f t="shared" si="60"/>
        <v>2.7225083729490672E-3</v>
      </c>
      <c r="M94" s="29"/>
      <c r="Q94" t="str">
        <f t="shared" si="34"/>
        <v>BUI</v>
      </c>
      <c r="R94" s="30">
        <f t="shared" ref="R94:AA94" si="61">($M43/$N43)*C43/$M43</f>
        <v>3.4409751827979215E-2</v>
      </c>
      <c r="S94" s="30">
        <f t="shared" si="61"/>
        <v>4.0487319522163674E-2</v>
      </c>
      <c r="T94" s="30">
        <f t="shared" si="61"/>
        <v>5.1780282023387005E-2</v>
      </c>
      <c r="U94" s="30">
        <f t="shared" si="61"/>
        <v>7.4816951969491979E-2</v>
      </c>
      <c r="V94" s="30">
        <f t="shared" si="61"/>
        <v>9.701466180043021E-2</v>
      </c>
      <c r="W94" s="30">
        <f t="shared" si="61"/>
        <v>9.6417991415727558E-2</v>
      </c>
      <c r="X94" s="30">
        <f t="shared" si="61"/>
        <v>0.10985826865802213</v>
      </c>
      <c r="Y94" s="30">
        <f t="shared" si="61"/>
        <v>0.13178324410557346</v>
      </c>
      <c r="Z94" s="30">
        <f t="shared" si="61"/>
        <v>0.16947686584781357</v>
      </c>
      <c r="AA94" s="30">
        <f t="shared" si="61"/>
        <v>0.19395466282941126</v>
      </c>
      <c r="AB94" s="29"/>
    </row>
    <row r="95" spans="2:28">
      <c r="B95" t="str">
        <f t="shared" si="32"/>
        <v>TRN</v>
      </c>
      <c r="C95" s="30">
        <f t="shared" ref="C95:L95" si="62">(C$47/C$48)*C44/C$47</f>
        <v>3.6949957312345717E-2</v>
      </c>
      <c r="D95" s="30">
        <f t="shared" si="62"/>
        <v>3.8889770756151708E-2</v>
      </c>
      <c r="E95" s="30">
        <f t="shared" si="62"/>
        <v>3.3963469702619063E-2</v>
      </c>
      <c r="F95" s="30">
        <f t="shared" si="62"/>
        <v>3.5664605540969598E-2</v>
      </c>
      <c r="G95" s="30">
        <f t="shared" si="62"/>
        <v>3.3451717869153616E-2</v>
      </c>
      <c r="H95" s="30">
        <f t="shared" si="62"/>
        <v>3.6102524128861051E-2</v>
      </c>
      <c r="I95" s="30">
        <f t="shared" si="62"/>
        <v>3.4275416203195824E-2</v>
      </c>
      <c r="J95" s="30">
        <f t="shared" si="62"/>
        <v>3.6372197677363535E-2</v>
      </c>
      <c r="K95" s="30">
        <f t="shared" si="62"/>
        <v>3.8452011209024459E-2</v>
      </c>
      <c r="L95" s="30">
        <f t="shared" si="62"/>
        <v>4.3751847344939081E-2</v>
      </c>
      <c r="M95" s="29"/>
      <c r="Q95" t="str">
        <f t="shared" si="34"/>
        <v>TRN</v>
      </c>
      <c r="R95" s="30">
        <f t="shared" ref="R95:AA95" si="63">($M44/$N44)*C44/$M44</f>
        <v>6.0358853693846547E-2</v>
      </c>
      <c r="S95" s="30">
        <f t="shared" si="63"/>
        <v>6.7970701295429412E-2</v>
      </c>
      <c r="T95" s="30">
        <f t="shared" si="63"/>
        <v>6.6047915259170101E-2</v>
      </c>
      <c r="U95" s="30">
        <f t="shared" si="63"/>
        <v>7.6701144461378198E-2</v>
      </c>
      <c r="V95" s="30">
        <f t="shared" si="63"/>
        <v>7.720808927621281E-2</v>
      </c>
      <c r="W95" s="30">
        <f t="shared" si="63"/>
        <v>9.0681980644531257E-2</v>
      </c>
      <c r="X95" s="30">
        <f t="shared" si="63"/>
        <v>9.3308043268823498E-2</v>
      </c>
      <c r="Y95" s="30">
        <f t="shared" si="63"/>
        <v>0.11280592458822464</v>
      </c>
      <c r="Z95" s="30">
        <f t="shared" si="63"/>
        <v>0.13698014681960805</v>
      </c>
      <c r="AA95" s="30">
        <f t="shared" si="63"/>
        <v>0.21793720069277564</v>
      </c>
      <c r="AB95" s="29"/>
    </row>
    <row r="96" spans="2:28">
      <c r="B96" t="str">
        <f t="shared" si="32"/>
        <v>AGR</v>
      </c>
      <c r="C96" s="30">
        <f t="shared" ref="C96:L96" si="64">(C$47/C$48)*C45/C$47</f>
        <v>1.0888903684481451E-2</v>
      </c>
      <c r="D96" s="30">
        <f t="shared" si="64"/>
        <v>1.0730221094498322E-2</v>
      </c>
      <c r="E96" s="30">
        <f t="shared" si="64"/>
        <v>1.043485634885913E-2</v>
      </c>
      <c r="F96" s="30">
        <f t="shared" si="64"/>
        <v>9.5989073722196876E-3</v>
      </c>
      <c r="G96" s="30">
        <f t="shared" si="64"/>
        <v>9.3104955605728401E-3</v>
      </c>
      <c r="H96" s="30">
        <f t="shared" si="64"/>
        <v>8.758635922645034E-3</v>
      </c>
      <c r="I96" s="30">
        <f t="shared" si="64"/>
        <v>8.3748203300945401E-3</v>
      </c>
      <c r="J96" s="30">
        <f t="shared" si="64"/>
        <v>7.4465216083163142E-3</v>
      </c>
      <c r="K96" s="30">
        <f t="shared" si="64"/>
        <v>6.5785852015001808E-3</v>
      </c>
      <c r="L96" s="30">
        <f t="shared" si="64"/>
        <v>4.9902429904311353E-3</v>
      </c>
      <c r="M96" s="29"/>
      <c r="Q96" t="str">
        <f t="shared" si="34"/>
        <v>AGR</v>
      </c>
      <c r="R96" s="30">
        <f t="shared" ref="R96:AA96" si="65">($M45/$N45)*C45/$M45</f>
        <v>8.2673090983765643E-2</v>
      </c>
      <c r="S96" s="30">
        <f t="shared" si="65"/>
        <v>8.7166180263547124E-2</v>
      </c>
      <c r="T96" s="30">
        <f t="shared" si="65"/>
        <v>9.4316247671234629E-2</v>
      </c>
      <c r="U96" s="30">
        <f t="shared" si="65"/>
        <v>9.5948722487397817E-2</v>
      </c>
      <c r="V96" s="30">
        <f t="shared" si="65"/>
        <v>9.9878072740517021E-2</v>
      </c>
      <c r="W96" s="30">
        <f t="shared" si="65"/>
        <v>0.10225225186683917</v>
      </c>
      <c r="X96" s="30">
        <f t="shared" si="65"/>
        <v>0.10596558018681161</v>
      </c>
      <c r="Y96" s="30">
        <f t="shared" si="65"/>
        <v>0.10734178118569465</v>
      </c>
      <c r="Z96" s="30">
        <f t="shared" si="65"/>
        <v>0.1089241169009879</v>
      </c>
      <c r="AA96" s="30">
        <f t="shared" si="65"/>
        <v>0.11553395571320457</v>
      </c>
      <c r="AB96" s="29"/>
    </row>
    <row r="97" spans="2:28">
      <c r="B97" t="str">
        <f t="shared" si="32"/>
        <v>SER</v>
      </c>
      <c r="C97" s="30">
        <f t="shared" ref="C97:L97" si="66">(C$47/C$48)*C46/C$47</f>
        <v>0.58850642961987609</v>
      </c>
      <c r="D97" s="30">
        <f t="shared" si="66"/>
        <v>0.56911027811576032</v>
      </c>
      <c r="E97" s="30">
        <f t="shared" si="66"/>
        <v>0.55890326371129972</v>
      </c>
      <c r="F97" s="30">
        <f t="shared" si="66"/>
        <v>0.54522831310778974</v>
      </c>
      <c r="G97" s="30">
        <f t="shared" si="66"/>
        <v>0.54696058232189715</v>
      </c>
      <c r="H97" s="30">
        <f t="shared" si="66"/>
        <v>0.54399736923690434</v>
      </c>
      <c r="I97" s="30">
        <f t="shared" si="66"/>
        <v>0.55162063406015893</v>
      </c>
      <c r="J97" s="30">
        <f t="shared" si="66"/>
        <v>0.54668900036799828</v>
      </c>
      <c r="K97" s="30">
        <f t="shared" si="66"/>
        <v>0.56193154020166414</v>
      </c>
      <c r="L97" s="30">
        <f t="shared" si="66"/>
        <v>0.57133989059242651</v>
      </c>
      <c r="M97" s="29"/>
      <c r="Q97" t="str">
        <f t="shared" si="34"/>
        <v>SER</v>
      </c>
      <c r="R97" s="30">
        <f t="shared" ref="R97:AA97" si="67">($M46/$N46)*C46/$M46</f>
        <v>6.4566130717362308E-2</v>
      </c>
      <c r="S97" s="30">
        <f t="shared" si="67"/>
        <v>6.6805051554811812E-2</v>
      </c>
      <c r="T97" s="30">
        <f t="shared" si="67"/>
        <v>7.2997874563173082E-2</v>
      </c>
      <c r="U97" s="30">
        <f t="shared" si="67"/>
        <v>7.8753402452635055E-2</v>
      </c>
      <c r="V97" s="30">
        <f t="shared" si="67"/>
        <v>8.4786540531605323E-2</v>
      </c>
      <c r="W97" s="30">
        <f t="shared" si="67"/>
        <v>9.1771268884266358E-2</v>
      </c>
      <c r="X97" s="30">
        <f t="shared" si="67"/>
        <v>0.10085637506271353</v>
      </c>
      <c r="Y97" s="30">
        <f t="shared" si="67"/>
        <v>0.11387521481849373</v>
      </c>
      <c r="Z97" s="30">
        <f t="shared" si="67"/>
        <v>0.13444618483785786</v>
      </c>
      <c r="AA97" s="30">
        <f t="shared" si="67"/>
        <v>0.19114195657708102</v>
      </c>
      <c r="AB97" s="29"/>
    </row>
    <row r="98" spans="2:28">
      <c r="B98" s="29"/>
      <c r="C98" s="29"/>
      <c r="D98" s="29"/>
      <c r="E98" s="29"/>
      <c r="F98" s="29"/>
      <c r="G98" s="29"/>
      <c r="H98" s="29"/>
      <c r="I98" s="29"/>
      <c r="J98" s="29"/>
      <c r="K98" s="29"/>
      <c r="L98" s="29"/>
      <c r="Q98" s="29"/>
      <c r="R98" s="29"/>
      <c r="S98" s="29"/>
      <c r="T98" s="29"/>
      <c r="U98" s="29"/>
      <c r="V98" s="29"/>
      <c r="W98" s="29"/>
      <c r="X98" s="29"/>
      <c r="Y98" s="29"/>
      <c r="Z98" s="29"/>
      <c r="AA98" s="29"/>
    </row>
  </sheetData>
  <conditionalFormatting sqref="C49:L49">
    <cfRule type="colorScale" priority="4">
      <colorScale>
        <cfvo type="min"/>
        <cfvo type="percentile" val="50"/>
        <cfvo type="max"/>
        <color rgb="FFF8696B"/>
        <color rgb="FFFFEB84"/>
        <color rgb="FF63BE7B"/>
      </colorScale>
    </cfRule>
  </conditionalFormatting>
  <conditionalFormatting sqref="O29:O46">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O96"/>
  <sheetViews>
    <sheetView topLeftCell="A82" workbookViewId="0">
      <selection activeCell="C78" sqref="C78:L95"/>
    </sheetView>
  </sheetViews>
  <sheetFormatPr defaultRowHeight="14.45"/>
  <sheetData>
    <row r="2" spans="2:15">
      <c r="B2" t="str">
        <f>+RAS_procedure!B26</f>
        <v>New distribution when only sums are known</v>
      </c>
    </row>
    <row r="3" spans="2:15">
      <c r="B3" t="s">
        <v>433</v>
      </c>
    </row>
    <row r="4" spans="2:15">
      <c r="B4" s="21"/>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2:15">
      <c r="B5" t="str">
        <f>+RAS_procedure!B29</f>
        <v>oil</v>
      </c>
      <c r="C5" s="30">
        <f>+RAS_procedure!C29</f>
        <v>1.6932609606171134</v>
      </c>
      <c r="D5" s="30">
        <f>+RAS_procedure!D29</f>
        <v>2.05550089618262</v>
      </c>
      <c r="E5" s="30">
        <f>+RAS_procedure!E29</f>
        <v>2.615803435121379</v>
      </c>
      <c r="F5" s="30">
        <f>+RAS_procedure!F29</f>
        <v>3.0038631004460692</v>
      </c>
      <c r="G5" s="30">
        <f>+RAS_procedure!G29</f>
        <v>3.3470735441300721</v>
      </c>
      <c r="H5" s="30">
        <f>+RAS_procedure!H29</f>
        <v>3.6176378095598092</v>
      </c>
      <c r="I5" s="30">
        <f>+RAS_procedure!I29</f>
        <v>4.0103718276424933</v>
      </c>
      <c r="J5" s="30">
        <f>+RAS_procedure!J29</f>
        <v>4.2014013242645447</v>
      </c>
      <c r="K5" s="30">
        <f>+RAS_procedure!K29</f>
        <v>4.4336375686105338</v>
      </c>
      <c r="L5" s="30">
        <f>+RAS_procedure!L29</f>
        <v>4.851355718910769</v>
      </c>
      <c r="M5" s="29">
        <f>+RAS_procedure!M29</f>
        <v>33.829906185485406</v>
      </c>
      <c r="N5">
        <f>+RAS_procedure!N29</f>
        <v>33.829906185485406</v>
      </c>
      <c r="O5">
        <f>+RAS_procedure!O29</f>
        <v>0</v>
      </c>
    </row>
    <row r="6" spans="2:15">
      <c r="B6" t="str">
        <f>+RAS_procedure!B30</f>
        <v>gas</v>
      </c>
      <c r="C6" s="30">
        <f>+RAS_procedure!C30</f>
        <v>0.37699442543269629</v>
      </c>
      <c r="D6" s="30">
        <f>+RAS_procedure!D30</f>
        <v>0.40897839586740792</v>
      </c>
      <c r="E6" s="30">
        <f>+RAS_procedure!E30</f>
        <v>0.44098732946267621</v>
      </c>
      <c r="F6" s="30">
        <f>+RAS_procedure!F30</f>
        <v>0.45199051127159257</v>
      </c>
      <c r="G6" s="30">
        <f>+RAS_procedure!G30</f>
        <v>0.47830921674544147</v>
      </c>
      <c r="H6" s="30">
        <f>+RAS_procedure!H30</f>
        <v>0.5072253708594201</v>
      </c>
      <c r="I6" s="30">
        <f>+RAS_procedure!I30</f>
        <v>0.52415456885070832</v>
      </c>
      <c r="J6" s="30">
        <f>+RAS_procedure!J30</f>
        <v>0.54030948716696625</v>
      </c>
      <c r="K6" s="30">
        <f>+RAS_procedure!K30</f>
        <v>0.58834613573185457</v>
      </c>
      <c r="L6" s="30">
        <f>+RAS_procedure!L30</f>
        <v>0.69794624871121613</v>
      </c>
      <c r="M6" s="29">
        <f>+RAS_procedure!M30</f>
        <v>5.0152416900999803</v>
      </c>
      <c r="N6">
        <f>+RAS_procedure!N30</f>
        <v>5.0152416900999794</v>
      </c>
      <c r="O6">
        <f>+RAS_procedure!O30</f>
        <v>0</v>
      </c>
    </row>
    <row r="7" spans="2:15">
      <c r="B7" t="str">
        <f>+RAS_procedure!B31</f>
        <v>ppp</v>
      </c>
      <c r="C7" s="30">
        <f>+RAS_procedure!C31</f>
        <v>1.7333321441593352</v>
      </c>
      <c r="D7" s="30">
        <f>+RAS_procedure!D31</f>
        <v>2.0112356104074318</v>
      </c>
      <c r="E7" s="30">
        <f>+RAS_procedure!E31</f>
        <v>2.2089315768618141</v>
      </c>
      <c r="F7" s="30">
        <f>+RAS_procedure!F31</f>
        <v>2.5312291272260468</v>
      </c>
      <c r="G7" s="30">
        <f>+RAS_procedure!G31</f>
        <v>2.6315841295681697</v>
      </c>
      <c r="H7" s="30">
        <f>+RAS_procedure!H31</f>
        <v>2.9529592510388381</v>
      </c>
      <c r="I7" s="30">
        <f>+RAS_procedure!I31</f>
        <v>3.1177679325232011</v>
      </c>
      <c r="J7" s="30">
        <f>+RAS_procedure!J31</f>
        <v>3.5044859839071467</v>
      </c>
      <c r="K7" s="30">
        <f>+RAS_procedure!K31</f>
        <v>3.922419833546869</v>
      </c>
      <c r="L7" s="30">
        <f>+RAS_procedure!L31</f>
        <v>5.1570180947595166</v>
      </c>
      <c r="M7" s="29">
        <f>+RAS_procedure!M31</f>
        <v>29.770963683998367</v>
      </c>
      <c r="N7">
        <f>+RAS_procedure!N31</f>
        <v>29.770963683998367</v>
      </c>
      <c r="O7">
        <f>+RAS_procedure!O31</f>
        <v>0</v>
      </c>
    </row>
    <row r="8" spans="2:15">
      <c r="B8" t="str">
        <f>+RAS_procedure!B32</f>
        <v>nmm</v>
      </c>
      <c r="C8" s="30">
        <f>+RAS_procedure!C32</f>
        <v>0.25388570632819724</v>
      </c>
      <c r="D8" s="30">
        <f>+RAS_procedure!D32</f>
        <v>0.32544992095576059</v>
      </c>
      <c r="E8" s="30">
        <f>+RAS_procedure!E32</f>
        <v>0.40671444833315773</v>
      </c>
      <c r="F8" s="30">
        <f>+RAS_procedure!F32</f>
        <v>0.49198932288995506</v>
      </c>
      <c r="G8" s="30">
        <f>+RAS_procedure!G32</f>
        <v>0.55649121106886557</v>
      </c>
      <c r="H8" s="30">
        <f>+RAS_procedure!H32</f>
        <v>0.59579894688388524</v>
      </c>
      <c r="I8" s="30">
        <f>+RAS_procedure!I32</f>
        <v>0.63325770637224266</v>
      </c>
      <c r="J8" s="30">
        <f>+RAS_procedure!J32</f>
        <v>0.67795513080089864</v>
      </c>
      <c r="K8" s="30">
        <f>+RAS_procedure!K32</f>
        <v>0.77885495262797333</v>
      </c>
      <c r="L8" s="30">
        <f>+RAS_procedure!L32</f>
        <v>0.91729332738888181</v>
      </c>
      <c r="M8" s="29">
        <f>+RAS_procedure!M32</f>
        <v>5.6376906736498196</v>
      </c>
      <c r="N8">
        <f>+RAS_procedure!N32</f>
        <v>5.6376906736498187</v>
      </c>
      <c r="O8">
        <f>+RAS_procedure!O32</f>
        <v>0</v>
      </c>
    </row>
    <row r="9" spans="2:15">
      <c r="B9" t="str">
        <f>+RAS_procedure!B33</f>
        <v>nfm</v>
      </c>
      <c r="C9" s="30">
        <f>+RAS_procedure!C33</f>
        <v>8.0512270469736472E-4</v>
      </c>
      <c r="D9" s="30">
        <f>+RAS_procedure!D33</f>
        <v>1.0957698887014964E-3</v>
      </c>
      <c r="E9" s="30">
        <f>+RAS_procedure!E33</f>
        <v>1.3522625271721006E-3</v>
      </c>
      <c r="F9" s="30">
        <f>+RAS_procedure!F33</f>
        <v>1.7271779665997914E-3</v>
      </c>
      <c r="G9" s="30">
        <f>+RAS_procedure!G33</f>
        <v>2.2245872547177756E-3</v>
      </c>
      <c r="H9" s="30">
        <f>+RAS_procedure!H33</f>
        <v>2.4315879440678576E-3</v>
      </c>
      <c r="I9" s="30">
        <f>+RAS_procedure!I33</f>
        <v>2.4437423575989496E-3</v>
      </c>
      <c r="J9" s="30">
        <f>+RAS_procedure!J33</f>
        <v>2.5294394405588334E-3</v>
      </c>
      <c r="K9" s="30">
        <f>+RAS_procedure!K33</f>
        <v>2.9897967138183758E-3</v>
      </c>
      <c r="L9" s="30">
        <f>+RAS_procedure!L33</f>
        <v>3.3544445844467265E-3</v>
      </c>
      <c r="M9" s="29">
        <f>+RAS_procedure!M33</f>
        <v>2.0953931382379269E-2</v>
      </c>
      <c r="N9">
        <f>+RAS_procedure!N33</f>
        <v>2.0953931382379269E-2</v>
      </c>
      <c r="O9">
        <f>+RAS_procedure!O33</f>
        <v>0</v>
      </c>
    </row>
    <row r="10" spans="2:15">
      <c r="B10" t="str">
        <f>+RAS_procedure!B34</f>
        <v>mvh</v>
      </c>
      <c r="C10" s="30">
        <f>+RAS_procedure!C34</f>
        <v>1.57471290764021</v>
      </c>
      <c r="D10" s="30">
        <f>+RAS_procedure!D34</f>
        <v>1.8548569969290682</v>
      </c>
      <c r="E10" s="30">
        <f>+RAS_procedure!E34</f>
        <v>2.8015491352957804</v>
      </c>
      <c r="F10" s="30">
        <f>+RAS_procedure!F34</f>
        <v>4.4861833711748211</v>
      </c>
      <c r="G10" s="30">
        <f>+RAS_procedure!G34</f>
        <v>4.8346559515283278</v>
      </c>
      <c r="H10" s="30">
        <f>+RAS_procedure!H34</f>
        <v>5.7626054731469392</v>
      </c>
      <c r="I10" s="30">
        <f>+RAS_procedure!I34</f>
        <v>5.9340141360359961</v>
      </c>
      <c r="J10" s="30">
        <f>+RAS_procedure!J34</f>
        <v>9.8299305627417617</v>
      </c>
      <c r="K10" s="30">
        <f>+RAS_procedure!K34</f>
        <v>11.964525363194069</v>
      </c>
      <c r="L10" s="30">
        <f>+RAS_procedure!L34</f>
        <v>22.409886023506942</v>
      </c>
      <c r="M10" s="29">
        <f>+RAS_procedure!M34</f>
        <v>71.45291992119391</v>
      </c>
      <c r="N10">
        <f>+RAS_procedure!N34</f>
        <v>71.452919921193924</v>
      </c>
      <c r="O10">
        <f>+RAS_procedure!O34</f>
        <v>0</v>
      </c>
    </row>
    <row r="11" spans="2:15">
      <c r="B11" t="str">
        <f>+RAS_procedure!B35</f>
        <v>ele</v>
      </c>
      <c r="C11" s="30">
        <f>+RAS_procedure!C35</f>
        <v>1.86134670684868</v>
      </c>
      <c r="D11" s="30">
        <f>+RAS_procedure!D35</f>
        <v>1.8239124020922812</v>
      </c>
      <c r="E11" s="30">
        <f>+RAS_procedure!E35</f>
        <v>1.881179353570068</v>
      </c>
      <c r="F11" s="30">
        <f>+RAS_procedure!F35</f>
        <v>1.8203636500895095</v>
      </c>
      <c r="G11" s="30">
        <f>+RAS_procedure!G35</f>
        <v>1.905297104328521</v>
      </c>
      <c r="H11" s="30">
        <f>+RAS_procedure!H35</f>
        <v>1.9473137215289842</v>
      </c>
      <c r="I11" s="30">
        <f>+RAS_procedure!I35</f>
        <v>1.9950219721526303</v>
      </c>
      <c r="J11" s="30">
        <f>+RAS_procedure!J35</f>
        <v>2.0355726359003601</v>
      </c>
      <c r="K11" s="30">
        <f>+RAS_procedure!K35</f>
        <v>2.0957177084772733</v>
      </c>
      <c r="L11" s="30">
        <f>+RAS_procedure!L35</f>
        <v>2.2528154520764905</v>
      </c>
      <c r="M11" s="29">
        <f>+RAS_procedure!M35</f>
        <v>19.618540707064799</v>
      </c>
      <c r="N11">
        <f>+RAS_procedure!N35</f>
        <v>19.618540707064795</v>
      </c>
      <c r="O11">
        <f>+RAS_procedure!O35</f>
        <v>0</v>
      </c>
    </row>
    <row r="12" spans="2:15">
      <c r="B12" t="str">
        <f>+RAS_procedure!B36</f>
        <v>COL</v>
      </c>
      <c r="C12" s="30">
        <f>+RAS_procedure!C36</f>
        <v>1.5769940204683561E-2</v>
      </c>
      <c r="D12" s="30">
        <f>+RAS_procedure!D36</f>
        <v>1.3361154399906087E-2</v>
      </c>
      <c r="E12" s="30">
        <f>+RAS_procedure!E36</f>
        <v>1.2527787661798316E-2</v>
      </c>
      <c r="F12" s="30">
        <f>+RAS_procedure!F36</f>
        <v>1.1935915562929859E-2</v>
      </c>
      <c r="G12" s="30">
        <f>+RAS_procedure!G36</f>
        <v>1.4016436694376225E-2</v>
      </c>
      <c r="H12" s="30">
        <f>+RAS_procedure!H36</f>
        <v>1.4753437189163146E-2</v>
      </c>
      <c r="I12" s="30">
        <f>+RAS_procedure!I36</f>
        <v>1.5486706700965148E-2</v>
      </c>
      <c r="J12" s="30">
        <f>+RAS_procedure!J36</f>
        <v>1.57082321063533E-2</v>
      </c>
      <c r="K12" s="30">
        <f>+RAS_procedure!K36</f>
        <v>1.4982409222707634E-2</v>
      </c>
      <c r="L12" s="30">
        <f>+RAS_procedure!L36</f>
        <v>1.5028984753684436E-2</v>
      </c>
      <c r="M12" s="29">
        <f>+RAS_procedure!M36</f>
        <v>0.14357100449656771</v>
      </c>
      <c r="N12">
        <f>+RAS_procedure!N36</f>
        <v>0.14357100449656773</v>
      </c>
      <c r="O12">
        <f>+RAS_procedure!O36</f>
        <v>0</v>
      </c>
    </row>
    <row r="13" spans="2:15">
      <c r="B13" t="str">
        <f>+RAS_procedure!B37</f>
        <v>CRU</v>
      </c>
      <c r="C13" s="30">
        <f>+RAS_procedure!C37</f>
        <v>2.1256815885640993E-3</v>
      </c>
      <c r="D13" s="30">
        <f>+RAS_procedure!D37</f>
        <v>2.1335778209012612E-3</v>
      </c>
      <c r="E13" s="30">
        <f>+RAS_procedure!E37</f>
        <v>2.4239902189515058E-3</v>
      </c>
      <c r="F13" s="30">
        <f>+RAS_procedure!F37</f>
        <v>2.7786422915341406E-3</v>
      </c>
      <c r="G13" s="30">
        <f>+RAS_procedure!G37</f>
        <v>2.9404583382657131E-3</v>
      </c>
      <c r="H13" s="30">
        <f>+RAS_procedure!H37</f>
        <v>3.0053698393101521E-3</v>
      </c>
      <c r="I13" s="30">
        <f>+RAS_procedure!I37</f>
        <v>3.3987156437294392E-3</v>
      </c>
      <c r="J13" s="30">
        <f>+RAS_procedure!J37</f>
        <v>3.3891380665133234E-3</v>
      </c>
      <c r="K13" s="30">
        <f>+RAS_procedure!K37</f>
        <v>3.6754000034665791E-3</v>
      </c>
      <c r="L13" s="30">
        <f>+RAS_procedure!L37</f>
        <v>4.1584243663029862E-3</v>
      </c>
      <c r="M13" s="29">
        <f>+RAS_procedure!M37</f>
        <v>3.0029398177539201E-2</v>
      </c>
      <c r="N13">
        <f>+RAS_procedure!N37</f>
        <v>3.0029398177539197E-2</v>
      </c>
      <c r="O13">
        <f>+RAS_procedure!O37</f>
        <v>0</v>
      </c>
    </row>
    <row r="14" spans="2:15">
      <c r="B14" t="str">
        <f>+RAS_procedure!B38</f>
        <v>CHM</v>
      </c>
      <c r="C14" s="30">
        <f>+RAS_procedure!C38</f>
        <v>2.2387395722911867</v>
      </c>
      <c r="D14" s="30">
        <f>+RAS_procedure!D38</f>
        <v>2.6808772126098139</v>
      </c>
      <c r="E14" s="30">
        <f>+RAS_procedure!E38</f>
        <v>3.0536179971593382</v>
      </c>
      <c r="F14" s="30">
        <f>+RAS_procedure!F38</f>
        <v>3.4768876535417363</v>
      </c>
      <c r="G14" s="30">
        <f>+RAS_procedure!G38</f>
        <v>3.7667660987607157</v>
      </c>
      <c r="H14" s="30">
        <f>+RAS_procedure!H38</f>
        <v>4.203349391751436</v>
      </c>
      <c r="I14" s="30">
        <f>+RAS_procedure!I38</f>
        <v>4.5380178054686118</v>
      </c>
      <c r="J14" s="30">
        <f>+RAS_procedure!J38</f>
        <v>4.8860648540943332</v>
      </c>
      <c r="K14" s="30">
        <f>+RAS_procedure!K38</f>
        <v>5.1709756588407787</v>
      </c>
      <c r="L14" s="30">
        <f>+RAS_procedure!L38</f>
        <v>6.0343035453953391</v>
      </c>
      <c r="M14" s="29">
        <f>+RAS_procedure!M38</f>
        <v>40.049599789913302</v>
      </c>
      <c r="N14">
        <f>+RAS_procedure!N38</f>
        <v>40.049599789913287</v>
      </c>
      <c r="O14">
        <f>+RAS_procedure!O38</f>
        <v>0</v>
      </c>
    </row>
    <row r="15" spans="2:15">
      <c r="B15" t="str">
        <f>+RAS_procedure!B39</f>
        <v>IRS</v>
      </c>
      <c r="C15" s="30">
        <f>+RAS_procedure!C39</f>
        <v>1.5214039128819644E-4</v>
      </c>
      <c r="D15" s="30">
        <f>+RAS_procedure!D39</f>
        <v>2.0706267337415832E-4</v>
      </c>
      <c r="E15" s="30">
        <f>+RAS_procedure!E39</f>
        <v>2.5553092566885381E-4</v>
      </c>
      <c r="F15" s="30">
        <f>+RAS_procedure!F39</f>
        <v>3.263769983503532E-4</v>
      </c>
      <c r="G15" s="30">
        <f>+RAS_procedure!G39</f>
        <v>4.203701788719467E-4</v>
      </c>
      <c r="H15" s="30">
        <f>+RAS_procedure!H39</f>
        <v>4.5948616167917103E-4</v>
      </c>
      <c r="I15" s="30">
        <f>+RAS_procedure!I39</f>
        <v>4.6178292615955442E-4</v>
      </c>
      <c r="J15" s="30">
        <f>+RAS_procedure!J39</f>
        <v>4.7797671582379495E-4</v>
      </c>
      <c r="K15" s="30">
        <f>+RAS_procedure!K39</f>
        <v>5.6496834489777647E-4</v>
      </c>
      <c r="L15" s="30">
        <f>+RAS_procedure!L39</f>
        <v>6.3387420160275953E-4</v>
      </c>
      <c r="M15" s="29">
        <f>+RAS_procedure!M39</f>
        <v>3.9595695177165654E-3</v>
      </c>
      <c r="N15">
        <f>+RAS_procedure!N39</f>
        <v>3.9595695177165645E-3</v>
      </c>
      <c r="O15">
        <f>+RAS_procedure!O39</f>
        <v>0</v>
      </c>
    </row>
    <row r="16" spans="2:15">
      <c r="B16" t="str">
        <f>+RAS_procedure!B40</f>
        <v>MAC</v>
      </c>
      <c r="C16" s="30">
        <f>+RAS_procedure!C40</f>
        <v>1.7145430100709564</v>
      </c>
      <c r="D16" s="30">
        <f>+RAS_procedure!D40</f>
        <v>2.162455826119265</v>
      </c>
      <c r="E16" s="30">
        <f>+RAS_procedure!E40</f>
        <v>2.9223553180642607</v>
      </c>
      <c r="F16" s="30">
        <f>+RAS_procedure!F40</f>
        <v>3.7585929861967302</v>
      </c>
      <c r="G16" s="30">
        <f>+RAS_procedure!G40</f>
        <v>4.1085075596282179</v>
      </c>
      <c r="H16" s="30">
        <f>+RAS_procedure!H40</f>
        <v>4.7223919284701363</v>
      </c>
      <c r="I16" s="30">
        <f>+RAS_procedure!I40</f>
        <v>5.1089203392732259</v>
      </c>
      <c r="J16" s="30">
        <f>+RAS_procedure!J40</f>
        <v>6.8561310324473306</v>
      </c>
      <c r="K16" s="30">
        <f>+RAS_procedure!K40</f>
        <v>8.0242790150123575</v>
      </c>
      <c r="L16" s="30">
        <f>+RAS_procedure!L40</f>
        <v>12.759982988451124</v>
      </c>
      <c r="M16" s="29">
        <f>+RAS_procedure!M40</f>
        <v>52.138160003733603</v>
      </c>
      <c r="N16">
        <f>+RAS_procedure!N40</f>
        <v>52.138160003733603</v>
      </c>
      <c r="O16">
        <f>+RAS_procedure!O40</f>
        <v>0</v>
      </c>
    </row>
    <row r="17" spans="2:15">
      <c r="B17" t="str">
        <f>+RAS_procedure!B41</f>
        <v>FOT</v>
      </c>
      <c r="C17" s="30">
        <f>+RAS_procedure!C41</f>
        <v>12.594518341405262</v>
      </c>
      <c r="D17" s="30">
        <f>+RAS_procedure!D41</f>
        <v>13.166355017582768</v>
      </c>
      <c r="E17" s="30">
        <f>+RAS_procedure!E41</f>
        <v>14.183296758983797</v>
      </c>
      <c r="F17" s="30">
        <f>+RAS_procedure!F41</f>
        <v>14.47619477139863</v>
      </c>
      <c r="G17" s="30">
        <f>+RAS_procedure!G41</f>
        <v>15.202900106146256</v>
      </c>
      <c r="H17" s="30">
        <f>+RAS_procedure!H41</f>
        <v>15.591356029152333</v>
      </c>
      <c r="I17" s="30">
        <f>+RAS_procedure!I41</f>
        <v>16.235329597385498</v>
      </c>
      <c r="J17" s="30">
        <f>+RAS_procedure!J41</f>
        <v>16.525764209642478</v>
      </c>
      <c r="K17" s="30">
        <f>+RAS_procedure!K41</f>
        <v>16.611075052672977</v>
      </c>
      <c r="L17" s="30">
        <f>+RAS_procedure!L41</f>
        <v>17.901795027990442</v>
      </c>
      <c r="M17" s="29">
        <f>+RAS_procedure!M41</f>
        <v>152.48858491236041</v>
      </c>
      <c r="N17">
        <f>+RAS_procedure!N41</f>
        <v>152.48858491236044</v>
      </c>
      <c r="O17">
        <f>+RAS_procedure!O41</f>
        <v>0</v>
      </c>
    </row>
    <row r="18" spans="2:15">
      <c r="B18" t="str">
        <f>+RAS_procedure!B42</f>
        <v>ROI</v>
      </c>
      <c r="C18" s="30">
        <f>+RAS_procedure!C42</f>
        <v>5.5297918300947799</v>
      </c>
      <c r="D18" s="30">
        <f>+RAS_procedure!D42</f>
        <v>6.6800234865252577</v>
      </c>
      <c r="E18" s="30">
        <f>+RAS_procedure!E42</f>
        <v>7.8711467666399715</v>
      </c>
      <c r="F18" s="30">
        <f>+RAS_procedure!F42</f>
        <v>9.2714624656352225</v>
      </c>
      <c r="G18" s="30">
        <f>+RAS_procedure!G42</f>
        <v>10.169661082667407</v>
      </c>
      <c r="H18" s="30">
        <f>+RAS_procedure!H42</f>
        <v>11.390980404070126</v>
      </c>
      <c r="I18" s="30">
        <f>+RAS_procedure!I42</f>
        <v>12.738423079099007</v>
      </c>
      <c r="J18" s="30">
        <f>+RAS_procedure!J42</f>
        <v>13.977754163072071</v>
      </c>
      <c r="K18" s="30">
        <f>+RAS_procedure!K42</f>
        <v>15.822030352712396</v>
      </c>
      <c r="L18" s="30">
        <f>+RAS_procedure!L42</f>
        <v>20.96511473794116</v>
      </c>
      <c r="M18" s="29">
        <f>+RAS_procedure!M42</f>
        <v>114.4163883684574</v>
      </c>
      <c r="N18">
        <f>+RAS_procedure!N42</f>
        <v>114.41638836845739</v>
      </c>
      <c r="O18">
        <f>+RAS_procedure!O42</f>
        <v>0</v>
      </c>
    </row>
    <row r="19" spans="2:15">
      <c r="B19" t="str">
        <f>+RAS_procedure!B43</f>
        <v>BUI</v>
      </c>
      <c r="C19" s="30">
        <f>+RAS_procedure!C43</f>
        <v>0.1203306951998504</v>
      </c>
      <c r="D19" s="30">
        <f>+RAS_procedure!D43</f>
        <v>0.14158391287550709</v>
      </c>
      <c r="E19" s="30">
        <f>+RAS_procedure!E43</f>
        <v>0.18107533482563884</v>
      </c>
      <c r="F19" s="30">
        <f>+RAS_procedure!F43</f>
        <v>0.26163443108306467</v>
      </c>
      <c r="G19" s="30">
        <f>+RAS_procedure!G43</f>
        <v>0.3392596888633157</v>
      </c>
      <c r="H19" s="30">
        <f>+RAS_procedure!H43</f>
        <v>0.33717313611642691</v>
      </c>
      <c r="I19" s="30">
        <f>+RAS_procedure!I43</f>
        <v>0.38417370480198754</v>
      </c>
      <c r="J19" s="30">
        <f>+RAS_procedure!J43</f>
        <v>0.46084521208377777</v>
      </c>
      <c r="K19" s="30">
        <f>+RAS_procedure!K43</f>
        <v>0.59265958062438107</v>
      </c>
      <c r="L19" s="30">
        <f>+RAS_procedure!L43</f>
        <v>0.67825828945788869</v>
      </c>
      <c r="M19" s="29">
        <f>+RAS_procedure!M43</f>
        <v>3.4969939859318391</v>
      </c>
      <c r="N19">
        <f>+RAS_procedure!N43</f>
        <v>3.4969939859318386</v>
      </c>
      <c r="O19">
        <f>+RAS_procedure!O43</f>
        <v>0</v>
      </c>
    </row>
    <row r="20" spans="2:15">
      <c r="B20" t="str">
        <f>+RAS_procedure!B44</f>
        <v>TRN</v>
      </c>
      <c r="C20" s="30">
        <f>+RAS_procedure!C44</f>
        <v>3.0187830043042876</v>
      </c>
      <c r="D20" s="30">
        <f>+RAS_procedure!D44</f>
        <v>3.3994813569861466</v>
      </c>
      <c r="E20" s="30">
        <f>+RAS_procedure!E44</f>
        <v>3.3033152860296835</v>
      </c>
      <c r="F20" s="30">
        <f>+RAS_procedure!F44</f>
        <v>3.8361250610414075</v>
      </c>
      <c r="G20" s="30">
        <f>+RAS_procedure!G44</f>
        <v>3.8614793594995125</v>
      </c>
      <c r="H20" s="30">
        <f>+RAS_procedure!H44</f>
        <v>4.5353615122460402</v>
      </c>
      <c r="I20" s="30">
        <f>+RAS_procedure!I44</f>
        <v>4.6667012036633464</v>
      </c>
      <c r="J20" s="30">
        <f>+RAS_procedure!J44</f>
        <v>5.6418667203164707</v>
      </c>
      <c r="K20" s="30">
        <f>+RAS_procedure!K44</f>
        <v>6.8509143868697349</v>
      </c>
      <c r="L20" s="30">
        <f>+RAS_procedure!L44</f>
        <v>10.899894169528865</v>
      </c>
      <c r="M20" s="29">
        <f>+RAS_procedure!M44</f>
        <v>50.013922060485498</v>
      </c>
      <c r="N20">
        <f>+RAS_procedure!N44</f>
        <v>50.013922060485491</v>
      </c>
      <c r="O20">
        <f>+RAS_procedure!O44</f>
        <v>0</v>
      </c>
    </row>
    <row r="21" spans="2:15">
      <c r="B21" t="str">
        <f>+RAS_procedure!B45</f>
        <v>AGR</v>
      </c>
      <c r="C21" s="30">
        <f>+RAS_procedure!C45</f>
        <v>0.88961502987274099</v>
      </c>
      <c r="D21" s="30">
        <f>+RAS_procedure!D45</f>
        <v>0.93796352762805779</v>
      </c>
      <c r="E21" s="30">
        <f>+RAS_procedure!E45</f>
        <v>1.0149027995821098</v>
      </c>
      <c r="F21" s="30">
        <f>+RAS_procedure!F45</f>
        <v>1.0324692666763751</v>
      </c>
      <c r="G21" s="30">
        <f>+RAS_procedure!G45</f>
        <v>1.0747515740295079</v>
      </c>
      <c r="H21" s="30">
        <f>+RAS_procedure!H45</f>
        <v>1.1002992511425007</v>
      </c>
      <c r="I21" s="30">
        <f>+RAS_procedure!I45</f>
        <v>1.1402570251290602</v>
      </c>
      <c r="J21" s="30">
        <f>+RAS_procedure!J45</f>
        <v>1.1550658229877571</v>
      </c>
      <c r="K21" s="30">
        <f>+RAS_procedure!K45</f>
        <v>1.1720927614737722</v>
      </c>
      <c r="L21" s="30">
        <f>+RAS_procedure!L45</f>
        <v>1.2432188302152787</v>
      </c>
      <c r="M21" s="29">
        <f>+RAS_procedure!M45</f>
        <v>10.760635888737159</v>
      </c>
      <c r="N21">
        <f>+RAS_procedure!N45</f>
        <v>10.760635888737159</v>
      </c>
      <c r="O21">
        <f>+RAS_procedure!O45</f>
        <v>0</v>
      </c>
    </row>
    <row r="22" spans="2:15">
      <c r="B22" t="str">
        <f>+RAS_procedure!B46</f>
        <v>SER</v>
      </c>
      <c r="C22" s="30">
        <f>+RAS_procedure!C46</f>
        <v>48.080521247765851</v>
      </c>
      <c r="D22" s="30">
        <f>+RAS_procedure!D46</f>
        <v>49.747780532177465</v>
      </c>
      <c r="E22" s="30">
        <f>+RAS_procedure!E46</f>
        <v>54.359395862521232</v>
      </c>
      <c r="F22" s="30">
        <f>+RAS_procedure!F46</f>
        <v>58.645370225655412</v>
      </c>
      <c r="G22" s="30">
        <f>+RAS_procedure!G46</f>
        <v>63.13807282953983</v>
      </c>
      <c r="H22" s="30">
        <f>+RAS_procedure!H46</f>
        <v>68.339397056944478</v>
      </c>
      <c r="I22" s="30">
        <f>+RAS_procedure!I46</f>
        <v>75.104811614047165</v>
      </c>
      <c r="J22" s="30">
        <f>+RAS_procedure!J46</f>
        <v>84.799563251545024</v>
      </c>
      <c r="K22" s="30">
        <f>+RAS_procedure!K46</f>
        <v>100.11816683076221</v>
      </c>
      <c r="L22" s="30">
        <f>+RAS_procedure!L46</f>
        <v>142.33786046083398</v>
      </c>
      <c r="M22" s="29">
        <f>+RAS_procedure!M46</f>
        <v>744.67093991179274</v>
      </c>
      <c r="N22">
        <f>+RAS_procedure!N46</f>
        <v>744.67093991179263</v>
      </c>
      <c r="O22">
        <f>+RAS_procedure!O46</f>
        <v>0</v>
      </c>
    </row>
    <row r="23" spans="2:15">
      <c r="B23" s="29" t="str">
        <f>+RAS_procedure!B47</f>
        <v>Total</v>
      </c>
      <c r="C23" s="29">
        <f>+RAS_procedure!C47</f>
        <v>81.699228466920061</v>
      </c>
      <c r="D23" s="29">
        <f>+RAS_procedure!D47</f>
        <v>87.41325265972138</v>
      </c>
      <c r="E23" s="29">
        <f>+RAS_procedure!E47</f>
        <v>97.26083097378411</v>
      </c>
      <c r="F23" s="29">
        <f>+RAS_procedure!F47</f>
        <v>107.56112405714556</v>
      </c>
      <c r="G23" s="29">
        <f>+RAS_procedure!G47</f>
        <v>115.43441130896993</v>
      </c>
      <c r="H23" s="29">
        <f>+RAS_procedure!H47</f>
        <v>125.62449916404508</v>
      </c>
      <c r="I23" s="29">
        <f>+RAS_procedure!I47</f>
        <v>136.15301346007308</v>
      </c>
      <c r="J23" s="29">
        <f>+RAS_procedure!J47</f>
        <v>155.11481517729953</v>
      </c>
      <c r="K23" s="29">
        <f>+RAS_procedure!K47</f>
        <v>178.16790777544136</v>
      </c>
      <c r="L23" s="29">
        <f>+RAS_procedure!L47</f>
        <v>249.12991864307295</v>
      </c>
    </row>
    <row r="24" spans="2:15">
      <c r="C24">
        <f>+RAS_procedure!C48</f>
        <v>81.699228466920374</v>
      </c>
      <c r="D24">
        <f>+RAS_procedure!D48</f>
        <v>87.413252659721735</v>
      </c>
      <c r="E24">
        <f>+RAS_procedure!E48</f>
        <v>97.260830973784493</v>
      </c>
      <c r="F24">
        <f>+RAS_procedure!F48</f>
        <v>107.56112405714599</v>
      </c>
      <c r="G24">
        <f>+RAS_procedure!G48</f>
        <v>115.43441130897038</v>
      </c>
      <c r="H24">
        <f>+RAS_procedure!H48</f>
        <v>125.62449916404557</v>
      </c>
      <c r="I24">
        <f>+RAS_procedure!I48</f>
        <v>136.15301346007362</v>
      </c>
      <c r="J24">
        <f>+RAS_procedure!J48</f>
        <v>155.11481517730016</v>
      </c>
      <c r="K24">
        <f>+RAS_procedure!K48</f>
        <v>178.16790777544207</v>
      </c>
      <c r="L24">
        <f>+RAS_procedure!L48</f>
        <v>249.12991864307395</v>
      </c>
    </row>
    <row r="25" spans="2:15">
      <c r="C25">
        <f>+RAS_procedure!C49</f>
        <v>3.1263880373444408E-13</v>
      </c>
      <c r="D25">
        <f>+RAS_procedure!D49</f>
        <v>3.5527136788005009E-13</v>
      </c>
      <c r="E25">
        <f>+RAS_procedure!E49</f>
        <v>3.836930773104541E-13</v>
      </c>
      <c r="F25">
        <f>+RAS_procedure!F49</f>
        <v>4.2632564145606011E-13</v>
      </c>
      <c r="G25">
        <f>+RAS_procedure!G49</f>
        <v>4.5474735088646412E-13</v>
      </c>
      <c r="H25">
        <f>+RAS_procedure!H49</f>
        <v>4.9737991503207013E-13</v>
      </c>
      <c r="I25">
        <f>+RAS_procedure!I49</f>
        <v>5.4001247917767614E-13</v>
      </c>
      <c r="J25">
        <f>+RAS_procedure!J49</f>
        <v>6.2527760746888816E-13</v>
      </c>
      <c r="K25">
        <f>+RAS_procedure!K49</f>
        <v>7.1054273576010019E-13</v>
      </c>
      <c r="L25">
        <f>+RAS_procedure!L49</f>
        <v>9.9475983006414026E-13</v>
      </c>
    </row>
    <row r="26" spans="2:15">
      <c r="C26">
        <f>+RAS_procedure!C50</f>
        <v>0.99999999999999623</v>
      </c>
      <c r="D26">
        <f>+RAS_procedure!D50</f>
        <v>0.99999999999999589</v>
      </c>
      <c r="E26">
        <f>+RAS_procedure!E50</f>
        <v>0.999999999999996</v>
      </c>
      <c r="F26">
        <f>+RAS_procedure!F50</f>
        <v>0.999999999999996</v>
      </c>
      <c r="G26">
        <f>+RAS_procedure!G50</f>
        <v>0.99999999999999611</v>
      </c>
      <c r="H26">
        <f>+RAS_procedure!H50</f>
        <v>0.999999999999996</v>
      </c>
      <c r="I26">
        <f>+RAS_procedure!I50</f>
        <v>0.999999999999996</v>
      </c>
      <c r="J26">
        <f>+RAS_procedure!J50</f>
        <v>0.999999999999996</v>
      </c>
      <c r="K26">
        <f>+RAS_procedure!K50</f>
        <v>0.999999999999996</v>
      </c>
      <c r="L26">
        <f>+RAS_procedure!L50</f>
        <v>0.999999999999996</v>
      </c>
    </row>
    <row r="28" spans="2:15">
      <c r="B28" t="s">
        <v>448</v>
      </c>
    </row>
    <row r="31" spans="2:15">
      <c r="B31" s="21"/>
      <c r="C31" t="str">
        <f>+C4</f>
        <v>D1</v>
      </c>
      <c r="D31" t="str">
        <f t="shared" ref="D31:L31" si="0">+D4</f>
        <v>D2</v>
      </c>
      <c r="E31" t="str">
        <f t="shared" si="0"/>
        <v>D3</v>
      </c>
      <c r="F31" t="str">
        <f t="shared" si="0"/>
        <v>D4</v>
      </c>
      <c r="G31" t="str">
        <f t="shared" si="0"/>
        <v>D5</v>
      </c>
      <c r="H31" t="str">
        <f t="shared" si="0"/>
        <v>D6</v>
      </c>
      <c r="I31" t="str">
        <f t="shared" si="0"/>
        <v>D7</v>
      </c>
      <c r="J31" t="str">
        <f t="shared" si="0"/>
        <v>D8</v>
      </c>
      <c r="K31" t="str">
        <f t="shared" si="0"/>
        <v>D9</v>
      </c>
      <c r="L31" t="str">
        <f t="shared" si="0"/>
        <v>D10</v>
      </c>
    </row>
    <row r="32" spans="2:15">
      <c r="B32" t="str">
        <f>+B5</f>
        <v>oil</v>
      </c>
      <c r="C32" s="31">
        <f>+main!$I51/main!$K51</f>
        <v>0.82486566028412422</v>
      </c>
      <c r="D32" s="31">
        <f>+main!$I51/main!$K51</f>
        <v>0.82486566028412422</v>
      </c>
      <c r="E32" s="31">
        <f>+main!$I51/main!$K51</f>
        <v>0.82486566028412422</v>
      </c>
      <c r="F32" s="31">
        <f>+main!$I51/main!$K51</f>
        <v>0.82486566028412422</v>
      </c>
      <c r="G32" s="31">
        <f>+main!$I51/main!$K51</f>
        <v>0.82486566028412422</v>
      </c>
      <c r="H32" s="31">
        <f>+main!$I51/main!$K51</f>
        <v>0.82486566028412422</v>
      </c>
      <c r="I32" s="31">
        <f>+main!$I51/main!$K51</f>
        <v>0.82486566028412422</v>
      </c>
      <c r="J32" s="31">
        <f>+main!$I51/main!$K51</f>
        <v>0.82486566028412422</v>
      </c>
      <c r="K32" s="31">
        <f>+main!$I51/main!$K51</f>
        <v>0.82486566028412422</v>
      </c>
      <c r="L32" s="31">
        <f>+main!$I51/main!$K51</f>
        <v>0.82486566028412422</v>
      </c>
      <c r="M32" s="29"/>
    </row>
    <row r="33" spans="2:13">
      <c r="B33" t="str">
        <f t="shared" ref="B33:B49" si="1">+B6</f>
        <v>gas</v>
      </c>
      <c r="C33" s="31">
        <f>+main!$I52/main!$K52</f>
        <v>0.34678667692803417</v>
      </c>
      <c r="D33" s="31">
        <f>+main!$I52/main!$K52</f>
        <v>0.34678667692803417</v>
      </c>
      <c r="E33" s="31">
        <f>+main!$I52/main!$K52</f>
        <v>0.34678667692803417</v>
      </c>
      <c r="F33" s="31">
        <f>+main!$I52/main!$K52</f>
        <v>0.34678667692803417</v>
      </c>
      <c r="G33" s="31">
        <f>+main!$I52/main!$K52</f>
        <v>0.34678667692803417</v>
      </c>
      <c r="H33" s="31">
        <f>+main!$I52/main!$K52</f>
        <v>0.34678667692803417</v>
      </c>
      <c r="I33" s="31">
        <f>+main!$I52/main!$K52</f>
        <v>0.34678667692803417</v>
      </c>
      <c r="J33" s="31">
        <f>+main!$I52/main!$K52</f>
        <v>0.34678667692803417</v>
      </c>
      <c r="K33" s="31">
        <f>+main!$I52/main!$K52</f>
        <v>0.34678667692803417</v>
      </c>
      <c r="L33" s="31">
        <f>+main!$I52/main!$K52</f>
        <v>0.34678667692803417</v>
      </c>
      <c r="M33" s="29"/>
    </row>
    <row r="34" spans="2:13">
      <c r="B34" t="str">
        <f t="shared" si="1"/>
        <v>ppp</v>
      </c>
      <c r="C34" s="31">
        <f>+main!$I53/main!$K53</f>
        <v>0.80209046608862566</v>
      </c>
      <c r="D34" s="31">
        <f>+main!$I53/main!$K53</f>
        <v>0.80209046608862566</v>
      </c>
      <c r="E34" s="31">
        <f>+main!$I53/main!$K53</f>
        <v>0.80209046608862566</v>
      </c>
      <c r="F34" s="31">
        <f>+main!$I53/main!$K53</f>
        <v>0.80209046608862566</v>
      </c>
      <c r="G34" s="31">
        <f>+main!$I53/main!$K53</f>
        <v>0.80209046608862566</v>
      </c>
      <c r="H34" s="31">
        <f>+main!$I53/main!$K53</f>
        <v>0.80209046608862566</v>
      </c>
      <c r="I34" s="31">
        <f>+main!$I53/main!$K53</f>
        <v>0.80209046608862566</v>
      </c>
      <c r="J34" s="31">
        <f>+main!$I53/main!$K53</f>
        <v>0.80209046608862566</v>
      </c>
      <c r="K34" s="31">
        <f>+main!$I53/main!$K53</f>
        <v>0.80209046608862566</v>
      </c>
      <c r="L34" s="31">
        <f>+main!$I53/main!$K53</f>
        <v>0.80209046608862566</v>
      </c>
      <c r="M34" s="29"/>
    </row>
    <row r="35" spans="2:13">
      <c r="B35" t="str">
        <f t="shared" si="1"/>
        <v>nmm</v>
      </c>
      <c r="C35" s="31">
        <f>+main!$I54/main!$K54</f>
        <v>0.77427897206136198</v>
      </c>
      <c r="D35" s="31">
        <f>+main!$I54/main!$K54</f>
        <v>0.77427897206136198</v>
      </c>
      <c r="E35" s="31">
        <f>+main!$I54/main!$K54</f>
        <v>0.77427897206136198</v>
      </c>
      <c r="F35" s="31">
        <f>+main!$I54/main!$K54</f>
        <v>0.77427897206136198</v>
      </c>
      <c r="G35" s="31">
        <f>+main!$I54/main!$K54</f>
        <v>0.77427897206136198</v>
      </c>
      <c r="H35" s="31">
        <f>+main!$I54/main!$K54</f>
        <v>0.77427897206136198</v>
      </c>
      <c r="I35" s="31">
        <f>+main!$I54/main!$K54</f>
        <v>0.77427897206136198</v>
      </c>
      <c r="J35" s="31">
        <f>+main!$I54/main!$K54</f>
        <v>0.77427897206136198</v>
      </c>
      <c r="K35" s="31">
        <f>+main!$I54/main!$K54</f>
        <v>0.77427897206136198</v>
      </c>
      <c r="L35" s="31">
        <f>+main!$I54/main!$K54</f>
        <v>0.77427897206136198</v>
      </c>
      <c r="M35" s="29"/>
    </row>
    <row r="36" spans="2:13">
      <c r="B36" t="str">
        <f t="shared" si="1"/>
        <v>nfm</v>
      </c>
      <c r="C36" s="31">
        <f>+main!$I55/main!$K55</f>
        <v>0.20345963019480331</v>
      </c>
      <c r="D36" s="31">
        <f>+main!$I55/main!$K55</f>
        <v>0.20345963019480331</v>
      </c>
      <c r="E36" s="31">
        <f>+main!$I55/main!$K55</f>
        <v>0.20345963019480331</v>
      </c>
      <c r="F36" s="31">
        <f>+main!$I55/main!$K55</f>
        <v>0.20345963019480331</v>
      </c>
      <c r="G36" s="31">
        <f>+main!$I55/main!$K55</f>
        <v>0.20345963019480331</v>
      </c>
      <c r="H36" s="31">
        <f>+main!$I55/main!$K55</f>
        <v>0.20345963019480331</v>
      </c>
      <c r="I36" s="31">
        <f>+main!$I55/main!$K55</f>
        <v>0.20345963019480331</v>
      </c>
      <c r="J36" s="31">
        <f>+main!$I55/main!$K55</f>
        <v>0.20345963019480331</v>
      </c>
      <c r="K36" s="31">
        <f>+main!$I55/main!$K55</f>
        <v>0.20345963019480331</v>
      </c>
      <c r="L36" s="31">
        <f>+main!$I55/main!$K55</f>
        <v>0.20345963019480331</v>
      </c>
      <c r="M36" s="29"/>
    </row>
    <row r="37" spans="2:13">
      <c r="B37" t="str">
        <f t="shared" si="1"/>
        <v>mvh</v>
      </c>
      <c r="C37" s="31">
        <f>+main!$I56/main!$K56</f>
        <v>0.62483076169864393</v>
      </c>
      <c r="D37" s="31">
        <f>+main!$I56/main!$K56</f>
        <v>0.62483076169864393</v>
      </c>
      <c r="E37" s="31">
        <f>+main!$I56/main!$K56</f>
        <v>0.62483076169864393</v>
      </c>
      <c r="F37" s="31">
        <f>+main!$I56/main!$K56</f>
        <v>0.62483076169864393</v>
      </c>
      <c r="G37" s="31">
        <f>+main!$I56/main!$K56</f>
        <v>0.62483076169864393</v>
      </c>
      <c r="H37" s="31">
        <f>+main!$I56/main!$K56</f>
        <v>0.62483076169864393</v>
      </c>
      <c r="I37" s="31">
        <f>+main!$I56/main!$K56</f>
        <v>0.62483076169864393</v>
      </c>
      <c r="J37" s="31">
        <f>+main!$I56/main!$K56</f>
        <v>0.62483076169864393</v>
      </c>
      <c r="K37" s="31">
        <f>+main!$I56/main!$K56</f>
        <v>0.62483076169864393</v>
      </c>
      <c r="L37" s="31">
        <f>+main!$I56/main!$K56</f>
        <v>0.62483076169864393</v>
      </c>
      <c r="M37" s="29"/>
    </row>
    <row r="38" spans="2:13">
      <c r="B38" t="str">
        <f t="shared" si="1"/>
        <v>ele</v>
      </c>
      <c r="C38" s="31">
        <f>+main!$I57/main!$K57</f>
        <v>0.94320591520858321</v>
      </c>
      <c r="D38" s="31">
        <f>+main!$I57/main!$K57</f>
        <v>0.94320591520858321</v>
      </c>
      <c r="E38" s="31">
        <f>+main!$I57/main!$K57</f>
        <v>0.94320591520858321</v>
      </c>
      <c r="F38" s="31">
        <f>+main!$I57/main!$K57</f>
        <v>0.94320591520858321</v>
      </c>
      <c r="G38" s="31">
        <f>+main!$I57/main!$K57</f>
        <v>0.94320591520858321</v>
      </c>
      <c r="H38" s="31">
        <f>+main!$I57/main!$K57</f>
        <v>0.94320591520858321</v>
      </c>
      <c r="I38" s="31">
        <f>+main!$I57/main!$K57</f>
        <v>0.94320591520858321</v>
      </c>
      <c r="J38" s="31">
        <f>+main!$I57/main!$K57</f>
        <v>0.94320591520858321</v>
      </c>
      <c r="K38" s="31">
        <f>+main!$I57/main!$K57</f>
        <v>0.94320591520858321</v>
      </c>
      <c r="L38" s="31">
        <f>+main!$I57/main!$K57</f>
        <v>0.94320591520858321</v>
      </c>
      <c r="M38" s="29"/>
    </row>
    <row r="39" spans="2:13">
      <c r="B39" t="str">
        <f t="shared" si="1"/>
        <v>COL</v>
      </c>
      <c r="C39" s="31">
        <f>+main!$I58/main!$K58</f>
        <v>0.70171062561300446</v>
      </c>
      <c r="D39" s="31">
        <f>+main!$I58/main!$K58</f>
        <v>0.70171062561300446</v>
      </c>
      <c r="E39" s="31">
        <f>+main!$I58/main!$K58</f>
        <v>0.70171062561300446</v>
      </c>
      <c r="F39" s="31">
        <f>+main!$I58/main!$K58</f>
        <v>0.70171062561300446</v>
      </c>
      <c r="G39" s="31">
        <f>+main!$I58/main!$K58</f>
        <v>0.70171062561300446</v>
      </c>
      <c r="H39" s="31">
        <f>+main!$I58/main!$K58</f>
        <v>0.70171062561300446</v>
      </c>
      <c r="I39" s="31">
        <f>+main!$I58/main!$K58</f>
        <v>0.70171062561300446</v>
      </c>
      <c r="J39" s="31">
        <f>+main!$I58/main!$K58</f>
        <v>0.70171062561300446</v>
      </c>
      <c r="K39" s="31">
        <f>+main!$I58/main!$K58</f>
        <v>0.70171062561300446</v>
      </c>
      <c r="L39" s="31">
        <f>+main!$I58/main!$K58</f>
        <v>0.70171062561300446</v>
      </c>
      <c r="M39" s="29"/>
    </row>
    <row r="40" spans="2:13">
      <c r="B40" t="str">
        <f t="shared" si="1"/>
        <v>CRU</v>
      </c>
      <c r="C40" s="31">
        <f>+main!$I59/main!$K59</f>
        <v>0</v>
      </c>
      <c r="D40" s="31">
        <f>+main!$I59/main!$K59</f>
        <v>0</v>
      </c>
      <c r="E40" s="31">
        <f>+main!$I59/main!$K59</f>
        <v>0</v>
      </c>
      <c r="F40" s="31">
        <f>+main!$I59/main!$K59</f>
        <v>0</v>
      </c>
      <c r="G40" s="31">
        <f>+main!$I59/main!$K59</f>
        <v>0</v>
      </c>
      <c r="H40" s="31">
        <f>+main!$I59/main!$K59</f>
        <v>0</v>
      </c>
      <c r="I40" s="31">
        <f>+main!$I59/main!$K59</f>
        <v>0</v>
      </c>
      <c r="J40" s="31">
        <f>+main!$I59/main!$K59</f>
        <v>0</v>
      </c>
      <c r="K40" s="31">
        <f>+main!$I59/main!$K59</f>
        <v>0</v>
      </c>
      <c r="L40" s="31">
        <f>+main!$I59/main!$K59</f>
        <v>0</v>
      </c>
      <c r="M40" s="29"/>
    </row>
    <row r="41" spans="2:13">
      <c r="B41" t="str">
        <f t="shared" si="1"/>
        <v>CHM</v>
      </c>
      <c r="C41" s="31">
        <f>+main!$I60/main!$K60</f>
        <v>0.41160952208675206</v>
      </c>
      <c r="D41" s="31">
        <f>+main!$I60/main!$K60</f>
        <v>0.41160952208675206</v>
      </c>
      <c r="E41" s="31">
        <f>+main!$I60/main!$K60</f>
        <v>0.41160952208675206</v>
      </c>
      <c r="F41" s="31">
        <f>+main!$I60/main!$K60</f>
        <v>0.41160952208675206</v>
      </c>
      <c r="G41" s="31">
        <f>+main!$I60/main!$K60</f>
        <v>0.41160952208675206</v>
      </c>
      <c r="H41" s="31">
        <f>+main!$I60/main!$K60</f>
        <v>0.41160952208675206</v>
      </c>
      <c r="I41" s="31">
        <f>+main!$I60/main!$K60</f>
        <v>0.41160952208675206</v>
      </c>
      <c r="J41" s="31">
        <f>+main!$I60/main!$K60</f>
        <v>0.41160952208675206</v>
      </c>
      <c r="K41" s="31">
        <f>+main!$I60/main!$K60</f>
        <v>0.41160952208675206</v>
      </c>
      <c r="L41" s="31">
        <f>+main!$I60/main!$K60</f>
        <v>0.41160952208675206</v>
      </c>
      <c r="M41" s="29"/>
    </row>
    <row r="42" spans="2:13">
      <c r="B42" t="str">
        <f t="shared" si="1"/>
        <v>IRS</v>
      </c>
      <c r="C42" s="31">
        <f>+main!$I61/main!$K61</f>
        <v>0.80030943232324259</v>
      </c>
      <c r="D42" s="31">
        <f>+main!$I61/main!$K61</f>
        <v>0.80030943232324259</v>
      </c>
      <c r="E42" s="31">
        <f>+main!$I61/main!$K61</f>
        <v>0.80030943232324259</v>
      </c>
      <c r="F42" s="31">
        <f>+main!$I61/main!$K61</f>
        <v>0.80030943232324259</v>
      </c>
      <c r="G42" s="31">
        <f>+main!$I61/main!$K61</f>
        <v>0.80030943232324259</v>
      </c>
      <c r="H42" s="31">
        <f>+main!$I61/main!$K61</f>
        <v>0.80030943232324259</v>
      </c>
      <c r="I42" s="31">
        <f>+main!$I61/main!$K61</f>
        <v>0.80030943232324259</v>
      </c>
      <c r="J42" s="31">
        <f>+main!$I61/main!$K61</f>
        <v>0.80030943232324259</v>
      </c>
      <c r="K42" s="31">
        <f>+main!$I61/main!$K61</f>
        <v>0.80030943232324259</v>
      </c>
      <c r="L42" s="31">
        <f>+main!$I61/main!$K61</f>
        <v>0.80030943232324259</v>
      </c>
      <c r="M42" s="29"/>
    </row>
    <row r="43" spans="2:13">
      <c r="B43" t="str">
        <f t="shared" si="1"/>
        <v>MAC</v>
      </c>
      <c r="C43" s="31">
        <f>+main!$I62/main!$K62</f>
        <v>0.46518529792168889</v>
      </c>
      <c r="D43" s="31">
        <f>+main!$I62/main!$K62</f>
        <v>0.46518529792168889</v>
      </c>
      <c r="E43" s="31">
        <f>+main!$I62/main!$K62</f>
        <v>0.46518529792168889</v>
      </c>
      <c r="F43" s="31">
        <f>+main!$I62/main!$K62</f>
        <v>0.46518529792168889</v>
      </c>
      <c r="G43" s="31">
        <f>+main!$I62/main!$K62</f>
        <v>0.46518529792168889</v>
      </c>
      <c r="H43" s="31">
        <f>+main!$I62/main!$K62</f>
        <v>0.46518529792168889</v>
      </c>
      <c r="I43" s="31">
        <f>+main!$I62/main!$K62</f>
        <v>0.46518529792168889</v>
      </c>
      <c r="J43" s="31">
        <f>+main!$I62/main!$K62</f>
        <v>0.46518529792168889</v>
      </c>
      <c r="K43" s="31">
        <f>+main!$I62/main!$K62</f>
        <v>0.46518529792168889</v>
      </c>
      <c r="L43" s="31">
        <f>+main!$I62/main!$K62</f>
        <v>0.46518529792168889</v>
      </c>
      <c r="M43" s="29"/>
    </row>
    <row r="44" spans="2:13">
      <c r="B44" t="str">
        <f t="shared" si="1"/>
        <v>FOT</v>
      </c>
      <c r="C44" s="31">
        <f>+main!$I63/main!$K63</f>
        <v>0.77090202720426271</v>
      </c>
      <c r="D44" s="31">
        <f>+main!$I63/main!$K63</f>
        <v>0.77090202720426271</v>
      </c>
      <c r="E44" s="31">
        <f>+main!$I63/main!$K63</f>
        <v>0.77090202720426271</v>
      </c>
      <c r="F44" s="31">
        <f>+main!$I63/main!$K63</f>
        <v>0.77090202720426271</v>
      </c>
      <c r="G44" s="31">
        <f>+main!$I63/main!$K63</f>
        <v>0.77090202720426271</v>
      </c>
      <c r="H44" s="31">
        <f>+main!$I63/main!$K63</f>
        <v>0.77090202720426271</v>
      </c>
      <c r="I44" s="31">
        <f>+main!$I63/main!$K63</f>
        <v>0.77090202720426271</v>
      </c>
      <c r="J44" s="31">
        <f>+main!$I63/main!$K63</f>
        <v>0.77090202720426271</v>
      </c>
      <c r="K44" s="31">
        <f>+main!$I63/main!$K63</f>
        <v>0.77090202720426271</v>
      </c>
      <c r="L44" s="31">
        <f>+main!$I63/main!$K63</f>
        <v>0.77090202720426271</v>
      </c>
      <c r="M44" s="29"/>
    </row>
    <row r="45" spans="2:13">
      <c r="B45" t="str">
        <f t="shared" si="1"/>
        <v>ROI</v>
      </c>
      <c r="C45" s="31">
        <f>+main!$I64/main!$K64</f>
        <v>0.50964649657068861</v>
      </c>
      <c r="D45" s="31">
        <f>+main!$I64/main!$K64</f>
        <v>0.50964649657068861</v>
      </c>
      <c r="E45" s="31">
        <f>+main!$I64/main!$K64</f>
        <v>0.50964649657068861</v>
      </c>
      <c r="F45" s="31">
        <f>+main!$I64/main!$K64</f>
        <v>0.50964649657068861</v>
      </c>
      <c r="G45" s="31">
        <f>+main!$I64/main!$K64</f>
        <v>0.50964649657068861</v>
      </c>
      <c r="H45" s="31">
        <f>+main!$I64/main!$K64</f>
        <v>0.50964649657068861</v>
      </c>
      <c r="I45" s="31">
        <f>+main!$I64/main!$K64</f>
        <v>0.50964649657068861</v>
      </c>
      <c r="J45" s="31">
        <f>+main!$I64/main!$K64</f>
        <v>0.50964649657068861</v>
      </c>
      <c r="K45" s="31">
        <f>+main!$I64/main!$K64</f>
        <v>0.50964649657068861</v>
      </c>
      <c r="L45" s="31">
        <f>+main!$I64/main!$K64</f>
        <v>0.50964649657068861</v>
      </c>
      <c r="M45" s="29"/>
    </row>
    <row r="46" spans="2:13">
      <c r="B46" t="str">
        <f t="shared" si="1"/>
        <v>BUI</v>
      </c>
      <c r="C46" s="31">
        <f>+main!$I65/main!$K65</f>
        <v>0.96029534600956123</v>
      </c>
      <c r="D46" s="31">
        <f>+main!$I65/main!$K65</f>
        <v>0.96029534600956123</v>
      </c>
      <c r="E46" s="31">
        <f>+main!$I65/main!$K65</f>
        <v>0.96029534600956123</v>
      </c>
      <c r="F46" s="31">
        <f>+main!$I65/main!$K65</f>
        <v>0.96029534600956123</v>
      </c>
      <c r="G46" s="31">
        <f>+main!$I65/main!$K65</f>
        <v>0.96029534600956123</v>
      </c>
      <c r="H46" s="31">
        <f>+main!$I65/main!$K65</f>
        <v>0.96029534600956123</v>
      </c>
      <c r="I46" s="31">
        <f>+main!$I65/main!$K65</f>
        <v>0.96029534600956123</v>
      </c>
      <c r="J46" s="31">
        <f>+main!$I65/main!$K65</f>
        <v>0.96029534600956123</v>
      </c>
      <c r="K46" s="31">
        <f>+main!$I65/main!$K65</f>
        <v>0.96029534600956123</v>
      </c>
      <c r="L46" s="31">
        <f>+main!$I65/main!$K65</f>
        <v>0.96029534600956123</v>
      </c>
      <c r="M46" s="29"/>
    </row>
    <row r="47" spans="2:13">
      <c r="B47" t="str">
        <f t="shared" si="1"/>
        <v>TRN</v>
      </c>
      <c r="C47" s="31">
        <f>+main!$I66/main!$K66</f>
        <v>0.7421148925800003</v>
      </c>
      <c r="D47" s="31">
        <f>+main!$I66/main!$K66</f>
        <v>0.7421148925800003</v>
      </c>
      <c r="E47" s="31">
        <f>+main!$I66/main!$K66</f>
        <v>0.7421148925800003</v>
      </c>
      <c r="F47" s="31">
        <f>+main!$I66/main!$K66</f>
        <v>0.7421148925800003</v>
      </c>
      <c r="G47" s="31">
        <f>+main!$I66/main!$K66</f>
        <v>0.7421148925800003</v>
      </c>
      <c r="H47" s="31">
        <f>+main!$I66/main!$K66</f>
        <v>0.7421148925800003</v>
      </c>
      <c r="I47" s="31">
        <f>+main!$I66/main!$K66</f>
        <v>0.7421148925800003</v>
      </c>
      <c r="J47" s="31">
        <f>+main!$I66/main!$K66</f>
        <v>0.7421148925800003</v>
      </c>
      <c r="K47" s="31">
        <f>+main!$I66/main!$K66</f>
        <v>0.7421148925800003</v>
      </c>
      <c r="L47" s="31">
        <f>+main!$I66/main!$K66</f>
        <v>0.7421148925800003</v>
      </c>
      <c r="M47" s="29"/>
    </row>
    <row r="48" spans="2:13">
      <c r="B48" t="str">
        <f>+B21</f>
        <v>AGR</v>
      </c>
      <c r="C48" s="31">
        <f>+main!$I67/main!$K67</f>
        <v>0.17479813153942542</v>
      </c>
      <c r="D48" s="31">
        <f>+main!$I67/main!$K67</f>
        <v>0.17479813153942542</v>
      </c>
      <c r="E48" s="31">
        <f>+main!$I67/main!$K67</f>
        <v>0.17479813153942542</v>
      </c>
      <c r="F48" s="31">
        <f>+main!$I67/main!$K67</f>
        <v>0.17479813153942542</v>
      </c>
      <c r="G48" s="31">
        <f>+main!$I67/main!$K67</f>
        <v>0.17479813153942542</v>
      </c>
      <c r="H48" s="31">
        <f>+main!$I67/main!$K67</f>
        <v>0.17479813153942542</v>
      </c>
      <c r="I48" s="31">
        <f>+main!$I67/main!$K67</f>
        <v>0.17479813153942542</v>
      </c>
      <c r="J48" s="31">
        <f>+main!$I67/main!$K67</f>
        <v>0.17479813153942542</v>
      </c>
      <c r="K48" s="31">
        <f>+main!$I67/main!$K67</f>
        <v>0.17479813153942542</v>
      </c>
      <c r="L48" s="31">
        <f>+main!$I67/main!$K67</f>
        <v>0.17479813153942542</v>
      </c>
      <c r="M48" s="29"/>
    </row>
    <row r="49" spans="2:13">
      <c r="B49" t="str">
        <f t="shared" si="1"/>
        <v>SER</v>
      </c>
      <c r="C49" s="31">
        <f>+main!$I68/main!$K68</f>
        <v>0.93969629754513717</v>
      </c>
      <c r="D49" s="31">
        <f>+main!$I68/main!$K68</f>
        <v>0.93969629754513717</v>
      </c>
      <c r="E49" s="31">
        <f>+main!$I68/main!$K68</f>
        <v>0.93969629754513717</v>
      </c>
      <c r="F49" s="31">
        <f>+main!$I68/main!$K68</f>
        <v>0.93969629754513717</v>
      </c>
      <c r="G49" s="31">
        <f>+main!$I68/main!$K68</f>
        <v>0.93969629754513717</v>
      </c>
      <c r="H49" s="31">
        <f>+main!$I68/main!$K68</f>
        <v>0.93969629754513717</v>
      </c>
      <c r="I49" s="31">
        <f>+main!$I68/main!$K68</f>
        <v>0.93969629754513717</v>
      </c>
      <c r="J49" s="31">
        <f>+main!$I68/main!$K68</f>
        <v>0.93969629754513717</v>
      </c>
      <c r="K49" s="31">
        <f>+main!$I68/main!$K68</f>
        <v>0.93969629754513717</v>
      </c>
      <c r="L49" s="31">
        <f>+main!$I68/main!$K68</f>
        <v>0.93969629754513717</v>
      </c>
      <c r="M49" s="29"/>
    </row>
    <row r="50" spans="2:13">
      <c r="B50" s="29"/>
      <c r="C50" s="29"/>
      <c r="D50" s="29"/>
      <c r="E50" s="29"/>
      <c r="F50" s="29"/>
      <c r="G50" s="29"/>
      <c r="H50" s="29"/>
      <c r="I50" s="29"/>
      <c r="J50" s="29"/>
      <c r="K50" s="29"/>
      <c r="L50" s="29"/>
    </row>
    <row r="53" spans="2:13">
      <c r="B53" t="s">
        <v>431</v>
      </c>
    </row>
    <row r="54" spans="2:13">
      <c r="B54" s="21"/>
      <c r="C54" t="str">
        <f>+C4</f>
        <v>D1</v>
      </c>
      <c r="D54" t="str">
        <f t="shared" ref="D54:L54" si="2">+D4</f>
        <v>D2</v>
      </c>
      <c r="E54" t="str">
        <f t="shared" si="2"/>
        <v>D3</v>
      </c>
      <c r="F54" t="str">
        <f t="shared" si="2"/>
        <v>D4</v>
      </c>
      <c r="G54" t="str">
        <f t="shared" si="2"/>
        <v>D5</v>
      </c>
      <c r="H54" t="str">
        <f t="shared" si="2"/>
        <v>D6</v>
      </c>
      <c r="I54" t="str">
        <f t="shared" si="2"/>
        <v>D7</v>
      </c>
      <c r="J54" t="str">
        <f t="shared" si="2"/>
        <v>D8</v>
      </c>
      <c r="K54" t="str">
        <f t="shared" si="2"/>
        <v>D9</v>
      </c>
      <c r="L54" t="str">
        <f t="shared" si="2"/>
        <v>D10</v>
      </c>
      <c r="M54" t="s">
        <v>397</v>
      </c>
    </row>
    <row r="55" spans="2:13">
      <c r="B55" t="str">
        <f>+B5</f>
        <v>oil</v>
      </c>
      <c r="C55" s="30">
        <f>+C5*C32</f>
        <v>1.3967128203127657</v>
      </c>
      <c r="D55" s="30">
        <f t="shared" ref="D55:L55" si="3">+D5*D32</f>
        <v>1.695512103944286</v>
      </c>
      <c r="E55" s="30">
        <f t="shared" si="3"/>
        <v>2.1576864276848764</v>
      </c>
      <c r="F55" s="30">
        <f t="shared" si="3"/>
        <v>2.4777835197525633</v>
      </c>
      <c r="G55" s="30">
        <f t="shared" si="3"/>
        <v>2.7608860289983759</v>
      </c>
      <c r="H55" s="30">
        <f t="shared" si="3"/>
        <v>2.984065200451365</v>
      </c>
      <c r="I55" s="30">
        <f t="shared" si="3"/>
        <v>3.3080180055931754</v>
      </c>
      <c r="J55" s="30">
        <f t="shared" si="3"/>
        <v>3.4655916774580677</v>
      </c>
      <c r="K55" s="30">
        <f t="shared" si="3"/>
        <v>3.6571553804924273</v>
      </c>
      <c r="L55" s="30">
        <f t="shared" si="3"/>
        <v>4.0017167383524939</v>
      </c>
      <c r="M55" s="29">
        <f>+SUM(C55:L55)</f>
        <v>27.905127903040395</v>
      </c>
    </row>
    <row r="56" spans="2:13">
      <c r="B56" t="str">
        <f t="shared" ref="B56:B73" si="4">+B6</f>
        <v>gas</v>
      </c>
      <c r="C56" s="30">
        <f t="shared" ref="C56:L56" si="5">+C6*C33</f>
        <v>0.13073664401619831</v>
      </c>
      <c r="D56" s="30">
        <f t="shared" si="5"/>
        <v>0.14182825883821645</v>
      </c>
      <c r="E56" s="30">
        <f t="shared" si="5"/>
        <v>0.15292853055172967</v>
      </c>
      <c r="F56" s="30">
        <f t="shared" si="5"/>
        <v>0.15674428740687876</v>
      </c>
      <c r="G56" s="30">
        <f t="shared" si="5"/>
        <v>0.16587126381920247</v>
      </c>
      <c r="H56" s="30">
        <f t="shared" si="5"/>
        <v>0.17589900081392804</v>
      </c>
      <c r="I56" s="30">
        <f t="shared" si="5"/>
        <v>0.18176982112838364</v>
      </c>
      <c r="J56" s="30">
        <f t="shared" si="5"/>
        <v>0.18737213156732255</v>
      </c>
      <c r="K56" s="30">
        <f t="shared" si="5"/>
        <v>0.20403060129389999</v>
      </c>
      <c r="L56" s="30">
        <f t="shared" si="5"/>
        <v>0.24203846026494988</v>
      </c>
      <c r="M56" s="29">
        <f t="shared" ref="M56:M72" si="6">+SUM(C56:L56)</f>
        <v>1.7392189997007097</v>
      </c>
    </row>
    <row r="57" spans="2:13">
      <c r="B57" t="str">
        <f t="shared" si="4"/>
        <v>ppp</v>
      </c>
      <c r="C57" s="30">
        <f t="shared" ref="C57:L57" si="7">+C7*C34</f>
        <v>1.3902891873951582</v>
      </c>
      <c r="D57" s="30">
        <f t="shared" si="7"/>
        <v>1.6131929081657386</v>
      </c>
      <c r="E57" s="30">
        <f t="shared" si="7"/>
        <v>1.7717629580429752</v>
      </c>
      <c r="F57" s="30">
        <f t="shared" si="7"/>
        <v>2.0302747504338452</v>
      </c>
      <c r="G57" s="30">
        <f t="shared" si="7"/>
        <v>2.1107685410367636</v>
      </c>
      <c r="H57" s="30">
        <f t="shared" si="7"/>
        <v>2.3685404620064605</v>
      </c>
      <c r="I57" s="30">
        <f t="shared" si="7"/>
        <v>2.5007319341537051</v>
      </c>
      <c r="J57" s="30">
        <f t="shared" si="7"/>
        <v>2.8109147962331393</v>
      </c>
      <c r="K57" s="30">
        <f t="shared" si="7"/>
        <v>3.1461355524848775</v>
      </c>
      <c r="L57" s="30">
        <f t="shared" si="7"/>
        <v>4.1363950472531368</v>
      </c>
      <c r="M57" s="29">
        <f t="shared" si="6"/>
        <v>23.879006137205799</v>
      </c>
    </row>
    <row r="58" spans="2:13">
      <c r="B58" t="str">
        <f t="shared" si="4"/>
        <v>nmm</v>
      </c>
      <c r="C58" s="30">
        <f t="shared" ref="C58:L58" si="8">+C8*C35</f>
        <v>0.19657836371686938</v>
      </c>
      <c r="D58" s="30">
        <f t="shared" si="8"/>
        <v>0.25198903025507779</v>
      </c>
      <c r="E58" s="30">
        <f t="shared" si="8"/>
        <v>0.31491044497790127</v>
      </c>
      <c r="F58" s="30">
        <f t="shared" si="8"/>
        <v>0.38093698719239993</v>
      </c>
      <c r="G58" s="30">
        <f t="shared" si="8"/>
        <v>0.43087944286758367</v>
      </c>
      <c r="H58" s="30">
        <f t="shared" si="8"/>
        <v>0.46131459614849668</v>
      </c>
      <c r="I58" s="30">
        <f t="shared" si="8"/>
        <v>0.49031812593983581</v>
      </c>
      <c r="J58" s="30">
        <f t="shared" si="8"/>
        <v>0.52492640178024597</v>
      </c>
      <c r="K58" s="30">
        <f t="shared" si="8"/>
        <v>0.60305101210568801</v>
      </c>
      <c r="L58" s="30">
        <f t="shared" si="8"/>
        <v>0.71024093460940974</v>
      </c>
      <c r="M58" s="29">
        <f t="shared" si="6"/>
        <v>4.365145339593508</v>
      </c>
    </row>
    <row r="59" spans="2:13">
      <c r="B59" t="str">
        <f t="shared" si="4"/>
        <v>nfm</v>
      </c>
      <c r="C59" s="30">
        <f t="shared" ref="C59:L59" si="9">+C9*C36</f>
        <v>1.6380996775916567E-4</v>
      </c>
      <c r="D59" s="30">
        <f t="shared" si="9"/>
        <v>2.2294493633380724E-4</v>
      </c>
      <c r="E59" s="30">
        <f t="shared" si="9"/>
        <v>2.7513083370472576E-4</v>
      </c>
      <c r="F59" s="30">
        <f t="shared" si="9"/>
        <v>3.514109903650059E-4</v>
      </c>
      <c r="G59" s="30">
        <f t="shared" si="9"/>
        <v>4.5261370018095134E-4</v>
      </c>
      <c r="H59" s="30">
        <f t="shared" si="9"/>
        <v>4.9472998388618841E-4</v>
      </c>
      <c r="I59" s="30">
        <f t="shared" si="9"/>
        <v>4.9720291636845906E-4</v>
      </c>
      <c r="J59" s="30">
        <f t="shared" si="9"/>
        <v>5.1463881317625039E-4</v>
      </c>
      <c r="K59" s="30">
        <f t="shared" si="9"/>
        <v>6.0830293375112494E-4</v>
      </c>
      <c r="L59" s="30">
        <f t="shared" si="9"/>
        <v>6.824940546604917E-4</v>
      </c>
      <c r="M59" s="29">
        <f t="shared" si="6"/>
        <v>4.26327913018617E-3</v>
      </c>
    </row>
    <row r="60" spans="2:13">
      <c r="B60" t="str">
        <f t="shared" si="4"/>
        <v>mvh</v>
      </c>
      <c r="C60" s="30">
        <f t="shared" ref="C60:L60" si="10">+C10*C37</f>
        <v>0.98392906553751869</v>
      </c>
      <c r="D60" s="30">
        <f t="shared" si="10"/>
        <v>1.1589717102332489</v>
      </c>
      <c r="E60" s="30">
        <f t="shared" si="10"/>
        <v>1.7504940801430398</v>
      </c>
      <c r="F60" s="30">
        <f t="shared" si="10"/>
        <v>2.8031053729309536</v>
      </c>
      <c r="G60" s="30">
        <f t="shared" si="10"/>
        <v>3.0208417607443274</v>
      </c>
      <c r="H60" s="30">
        <f t="shared" si="10"/>
        <v>3.6006531671551762</v>
      </c>
      <c r="I60" s="30">
        <f t="shared" si="10"/>
        <v>3.7077545725498919</v>
      </c>
      <c r="J60" s="30">
        <f t="shared" si="10"/>
        <v>6.1420430009627145</v>
      </c>
      <c r="K60" s="30">
        <f t="shared" si="10"/>
        <v>7.4758034960472948</v>
      </c>
      <c r="L60" s="30">
        <f t="shared" si="10"/>
        <v>14.002386153647638</v>
      </c>
      <c r="M60" s="29">
        <f t="shared" si="6"/>
        <v>44.645982379951803</v>
      </c>
    </row>
    <row r="61" spans="2:13">
      <c r="B61" t="str">
        <f t="shared" si="4"/>
        <v>ele</v>
      </c>
      <c r="C61" s="30">
        <f t="shared" ref="C61:L61" si="11">+C11*C38</f>
        <v>1.7556332241536916</v>
      </c>
      <c r="D61" s="30">
        <f t="shared" si="11"/>
        <v>1.7203249664757356</v>
      </c>
      <c r="E61" s="30">
        <f t="shared" si="11"/>
        <v>1.774339493855547</v>
      </c>
      <c r="F61" s="30">
        <f t="shared" si="11"/>
        <v>1.716977762595113</v>
      </c>
      <c r="G61" s="30">
        <f t="shared" si="11"/>
        <v>1.7970874990324461</v>
      </c>
      <c r="H61" s="30">
        <f t="shared" si="11"/>
        <v>1.8367178209129777</v>
      </c>
      <c r="I61" s="30">
        <f t="shared" si="11"/>
        <v>1.8817165251054544</v>
      </c>
      <c r="J61" s="30">
        <f t="shared" si="11"/>
        <v>1.9199641510179473</v>
      </c>
      <c r="K61" s="30">
        <f t="shared" si="11"/>
        <v>1.9766933392431414</v>
      </c>
      <c r="L61" s="30">
        <f t="shared" si="11"/>
        <v>2.1248688602718442</v>
      </c>
      <c r="M61" s="29">
        <f t="shared" si="6"/>
        <v>18.504323642663898</v>
      </c>
    </row>
    <row r="62" spans="2:13">
      <c r="B62" t="str">
        <f t="shared" si="4"/>
        <v>COL</v>
      </c>
      <c r="C62" s="30">
        <f t="shared" ref="C62:L62" si="12">+C12*C39</f>
        <v>1.1065934606908174E-2</v>
      </c>
      <c r="D62" s="30">
        <f t="shared" si="12"/>
        <v>9.3756640128700476E-3</v>
      </c>
      <c r="E62" s="30">
        <f t="shared" si="12"/>
        <v>8.7908817177073748E-3</v>
      </c>
      <c r="F62" s="30">
        <f t="shared" si="12"/>
        <v>8.3755587769275084E-3</v>
      </c>
      <c r="G62" s="30">
        <f t="shared" si="12"/>
        <v>9.8354825616758131E-3</v>
      </c>
      <c r="H62" s="30">
        <f t="shared" si="12"/>
        <v>1.0352643639949838E-2</v>
      </c>
      <c r="I62" s="30">
        <f t="shared" si="12"/>
        <v>1.0867186647819363E-2</v>
      </c>
      <c r="J62" s="30">
        <f t="shared" si="12"/>
        <v>1.1022633378623458E-2</v>
      </c>
      <c r="K62" s="30">
        <f t="shared" si="12"/>
        <v>1.0513315748856222E-2</v>
      </c>
      <c r="L62" s="30">
        <f t="shared" si="12"/>
        <v>1.0545998293836211E-2</v>
      </c>
      <c r="M62" s="29">
        <f t="shared" si="6"/>
        <v>0.100745299385174</v>
      </c>
    </row>
    <row r="63" spans="2:13">
      <c r="B63" t="str">
        <f t="shared" si="4"/>
        <v>CRU</v>
      </c>
      <c r="C63" s="30">
        <f t="shared" ref="C63:L63" si="13">+C13*C40</f>
        <v>0</v>
      </c>
      <c r="D63" s="30">
        <f t="shared" si="13"/>
        <v>0</v>
      </c>
      <c r="E63" s="30">
        <f t="shared" si="13"/>
        <v>0</v>
      </c>
      <c r="F63" s="30">
        <f t="shared" si="13"/>
        <v>0</v>
      </c>
      <c r="G63" s="30">
        <f t="shared" si="13"/>
        <v>0</v>
      </c>
      <c r="H63" s="30">
        <f t="shared" si="13"/>
        <v>0</v>
      </c>
      <c r="I63" s="30">
        <f t="shared" si="13"/>
        <v>0</v>
      </c>
      <c r="J63" s="30">
        <f t="shared" si="13"/>
        <v>0</v>
      </c>
      <c r="K63" s="30">
        <f t="shared" si="13"/>
        <v>0</v>
      </c>
      <c r="L63" s="30">
        <f t="shared" si="13"/>
        <v>0</v>
      </c>
      <c r="M63" s="29">
        <f t="shared" si="6"/>
        <v>0</v>
      </c>
    </row>
    <row r="64" spans="2:13">
      <c r="B64" t="str">
        <f t="shared" si="4"/>
        <v>CHM</v>
      </c>
      <c r="C64" s="30">
        <f t="shared" ref="C64:L64" si="14">+C14*C41</f>
        <v>0.92148652542747511</v>
      </c>
      <c r="D64" s="30">
        <f t="shared" si="14"/>
        <v>1.1034745882555894</v>
      </c>
      <c r="E64" s="30">
        <f t="shared" si="14"/>
        <v>1.2568982444462602</v>
      </c>
      <c r="F64" s="30">
        <f t="shared" si="14"/>
        <v>1.4311200654236429</v>
      </c>
      <c r="G64" s="30">
        <f t="shared" si="14"/>
        <v>1.5504367937234778</v>
      </c>
      <c r="H64" s="30">
        <f t="shared" si="14"/>
        <v>1.7301386343024485</v>
      </c>
      <c r="I64" s="30">
        <f t="shared" si="14"/>
        <v>1.8678913401301067</v>
      </c>
      <c r="J64" s="30">
        <f t="shared" si="14"/>
        <v>2.0111508194786443</v>
      </c>
      <c r="K64" s="30">
        <f t="shared" si="14"/>
        <v>2.1284228196576809</v>
      </c>
      <c r="L64" s="30">
        <f t="shared" si="14"/>
        <v>2.4837767984465691</v>
      </c>
      <c r="M64" s="29">
        <f t="shared" si="6"/>
        <v>16.484796629291896</v>
      </c>
    </row>
    <row r="65" spans="2:13">
      <c r="B65" t="str">
        <f t="shared" si="4"/>
        <v>IRS</v>
      </c>
      <c r="C65" s="30">
        <f t="shared" ref="C65:L65" si="15">+C15*C42</f>
        <v>1.2175939018529249E-4</v>
      </c>
      <c r="D65" s="30">
        <f t="shared" si="15"/>
        <v>1.6571421058340563E-4</v>
      </c>
      <c r="E65" s="30">
        <f t="shared" si="15"/>
        <v>2.045038100630731E-4</v>
      </c>
      <c r="F65" s="30">
        <f t="shared" si="15"/>
        <v>2.6120259027313504E-4</v>
      </c>
      <c r="G65" s="30">
        <f t="shared" si="15"/>
        <v>3.3642621921862759E-4</v>
      </c>
      <c r="H65" s="30">
        <f t="shared" si="15"/>
        <v>3.6773110921384304E-4</v>
      </c>
      <c r="I65" s="30">
        <f t="shared" si="15"/>
        <v>3.6956923149131883E-4</v>
      </c>
      <c r="J65" s="30">
        <f t="shared" si="15"/>
        <v>3.8252927410466919E-4</v>
      </c>
      <c r="K65" s="30">
        <f t="shared" si="15"/>
        <v>4.5214949538574143E-4</v>
      </c>
      <c r="L65" s="30">
        <f t="shared" si="15"/>
        <v>5.0729550244905312E-4</v>
      </c>
      <c r="M65" s="29">
        <f t="shared" si="6"/>
        <v>3.1688808329681595E-3</v>
      </c>
    </row>
    <row r="66" spans="2:13">
      <c r="B66" t="str">
        <f t="shared" si="4"/>
        <v>MAC</v>
      </c>
      <c r="C66" s="30">
        <f t="shared" ref="C66:L66" si="16">+C16*C43</f>
        <v>0.79758020093940707</v>
      </c>
      <c r="D66" s="30">
        <f t="shared" si="16"/>
        <v>1.0059426577157822</v>
      </c>
      <c r="E66" s="30">
        <f t="shared" si="16"/>
        <v>1.3594367292667551</v>
      </c>
      <c r="F66" s="30">
        <f t="shared" si="16"/>
        <v>1.7484421980502962</v>
      </c>
      <c r="G66" s="30">
        <f t="shared" si="16"/>
        <v>1.9112173131391634</v>
      </c>
      <c r="H66" s="30">
        <f t="shared" si="16"/>
        <v>2.1967872961483592</v>
      </c>
      <c r="I66" s="30">
        <f t="shared" si="16"/>
        <v>2.3765946300829914</v>
      </c>
      <c r="J66" s="30">
        <f t="shared" si="16"/>
        <v>3.189371356919148</v>
      </c>
      <c r="K66" s="30">
        <f t="shared" si="16"/>
        <v>3.7327766242052798</v>
      </c>
      <c r="L66" s="30">
        <f t="shared" si="16"/>
        <v>5.9357564879583187</v>
      </c>
      <c r="M66" s="29">
        <f t="shared" si="6"/>
        <v>24.253905494425499</v>
      </c>
    </row>
    <row r="67" spans="2:13">
      <c r="B67" t="str">
        <f t="shared" si="4"/>
        <v>FOT</v>
      </c>
      <c r="C67" s="30">
        <f t="shared" ref="C67:L67" si="17">+C17*C44</f>
        <v>9.709139721050585</v>
      </c>
      <c r="D67" s="30">
        <f t="shared" si="17"/>
        <v>10.149969773945573</v>
      </c>
      <c r="E67" s="30">
        <f t="shared" si="17"/>
        <v>10.933932223940259</v>
      </c>
      <c r="F67" s="30">
        <f t="shared" si="17"/>
        <v>11.159727895474951</v>
      </c>
      <c r="G67" s="30">
        <f t="shared" si="17"/>
        <v>11.719946511212049</v>
      </c>
      <c r="H67" s="30">
        <f t="shared" si="17"/>
        <v>12.019407969736937</v>
      </c>
      <c r="I67" s="30">
        <f t="shared" si="17"/>
        <v>12.515848498953847</v>
      </c>
      <c r="J67" s="30">
        <f t="shared" si="17"/>
        <v>12.739745130313036</v>
      </c>
      <c r="K67" s="30">
        <f t="shared" si="17"/>
        <v>12.805511432147753</v>
      </c>
      <c r="L67" s="30">
        <f t="shared" si="17"/>
        <v>13.800530077673022</v>
      </c>
      <c r="M67" s="29">
        <f t="shared" si="6"/>
        <v>117.55375923444801</v>
      </c>
    </row>
    <row r="68" spans="2:13">
      <c r="B68" t="str">
        <f t="shared" si="4"/>
        <v>ROI</v>
      </c>
      <c r="C68" s="30">
        <f t="shared" ref="C68:L68" si="18">+C18*C45</f>
        <v>2.8182390329730214</v>
      </c>
      <c r="D68" s="30">
        <f t="shared" si="18"/>
        <v>3.404450566917514</v>
      </c>
      <c r="E68" s="30">
        <f t="shared" si="18"/>
        <v>4.0115023736117648</v>
      </c>
      <c r="F68" s="30">
        <f t="shared" si="18"/>
        <v>4.7251683636976294</v>
      </c>
      <c r="G68" s="30">
        <f t="shared" si="18"/>
        <v>5.1829321420927199</v>
      </c>
      <c r="H68" s="30">
        <f t="shared" si="18"/>
        <v>5.8053732554397062</v>
      </c>
      <c r="I68" s="30">
        <f t="shared" si="18"/>
        <v>6.4920926940980133</v>
      </c>
      <c r="J68" s="30">
        <f t="shared" si="18"/>
        <v>7.1237134391360382</v>
      </c>
      <c r="K68" s="30">
        <f t="shared" si="18"/>
        <v>8.0636423378949686</v>
      </c>
      <c r="L68" s="30">
        <f t="shared" si="18"/>
        <v>10.684797276394223</v>
      </c>
      <c r="M68" s="29">
        <f t="shared" si="6"/>
        <v>58.311911482255596</v>
      </c>
    </row>
    <row r="69" spans="2:13">
      <c r="B69" t="str">
        <f t="shared" si="4"/>
        <v>BUI</v>
      </c>
      <c r="C69" s="30">
        <f t="shared" ref="C69:L69" si="19">+C19*C46</f>
        <v>0.11555300658251139</v>
      </c>
      <c r="D69" s="30">
        <f t="shared" si="19"/>
        <v>0.13596237260417265</v>
      </c>
      <c r="E69" s="30">
        <f t="shared" si="19"/>
        <v>0.173885801310184</v>
      </c>
      <c r="F69" s="30">
        <f t="shared" si="19"/>
        <v>0.25124632652492629</v>
      </c>
      <c r="G69" s="30">
        <f t="shared" si="19"/>
        <v>0.32578950030409382</v>
      </c>
      <c r="H69" s="30">
        <f t="shared" si="19"/>
        <v>0.32378579341205305</v>
      </c>
      <c r="I69" s="30">
        <f t="shared" si="19"/>
        <v>0.36892022078059966</v>
      </c>
      <c r="J69" s="30">
        <f t="shared" si="19"/>
        <v>0.44254751239484102</v>
      </c>
      <c r="K69" s="30">
        <f t="shared" si="19"/>
        <v>0.56912823704157145</v>
      </c>
      <c r="L69" s="30">
        <f t="shared" si="19"/>
        <v>0.65132827875881638</v>
      </c>
      <c r="M69" s="29">
        <f t="shared" si="6"/>
        <v>3.3581470497137698</v>
      </c>
    </row>
    <row r="70" spans="2:13">
      <c r="B70" t="str">
        <f t="shared" si="4"/>
        <v>TRN</v>
      </c>
      <c r="C70" s="30">
        <f t="shared" ref="C70:L70" si="20">+C20*C47</f>
        <v>2.2402838249616068</v>
      </c>
      <c r="D70" s="30">
        <f t="shared" si="20"/>
        <v>2.5228057420674879</v>
      </c>
      <c r="E70" s="30">
        <f t="shared" si="20"/>
        <v>2.4514394686497916</v>
      </c>
      <c r="F70" s="30">
        <f t="shared" si="20"/>
        <v>2.8468455375981914</v>
      </c>
      <c r="G70" s="30">
        <f t="shared" si="20"/>
        <v>2.8656613400748689</v>
      </c>
      <c r="H70" s="30">
        <f t="shared" si="20"/>
        <v>3.3657593214719377</v>
      </c>
      <c r="I70" s="30">
        <f t="shared" si="20"/>
        <v>3.4632284624595826</v>
      </c>
      <c r="J70" s="30">
        <f t="shared" si="20"/>
        <v>4.1869133150983364</v>
      </c>
      <c r="K70" s="30">
        <f t="shared" si="20"/>
        <v>5.0841655942866115</v>
      </c>
      <c r="L70" s="30">
        <f t="shared" si="20"/>
        <v>8.0889737907532862</v>
      </c>
      <c r="M70" s="29">
        <f t="shared" si="6"/>
        <v>37.116076397421701</v>
      </c>
    </row>
    <row r="71" spans="2:13">
      <c r="B71" t="str">
        <f t="shared" si="4"/>
        <v>AGR</v>
      </c>
      <c r="C71" s="30">
        <f t="shared" ref="C71:L71" si="21">+C21*C48</f>
        <v>0.15550304501114526</v>
      </c>
      <c r="D71" s="30">
        <f t="shared" si="21"/>
        <v>0.16395427208151273</v>
      </c>
      <c r="E71" s="30">
        <f t="shared" si="21"/>
        <v>0.17740311306108475</v>
      </c>
      <c r="F71" s="30">
        <f t="shared" si="21"/>
        <v>0.1804736986869111</v>
      </c>
      <c r="G71" s="30">
        <f t="shared" si="21"/>
        <v>0.18786456700941445</v>
      </c>
      <c r="H71" s="30">
        <f t="shared" si="21"/>
        <v>0.19233025323393813</v>
      </c>
      <c r="I71" s="30">
        <f t="shared" si="21"/>
        <v>0.19931479746726338</v>
      </c>
      <c r="J71" s="30">
        <f t="shared" si="21"/>
        <v>0.20190334766330864</v>
      </c>
      <c r="K71" s="30">
        <f t="shared" si="21"/>
        <v>0.20487962469650081</v>
      </c>
      <c r="L71" s="30">
        <f t="shared" si="21"/>
        <v>0.21731232861626087</v>
      </c>
      <c r="M71" s="29">
        <f t="shared" si="6"/>
        <v>1.8809390475273398</v>
      </c>
    </row>
    <row r="72" spans="2:13">
      <c r="B72" t="str">
        <f t="shared" si="4"/>
        <v>SER</v>
      </c>
      <c r="C72" s="30">
        <f t="shared" ref="C72:L72" si="22">+C22*C49</f>
        <v>45.181087800565869</v>
      </c>
      <c r="D72" s="30">
        <f t="shared" si="22"/>
        <v>46.747805177175216</v>
      </c>
      <c r="E72" s="30">
        <f t="shared" si="22"/>
        <v>51.081323028801648</v>
      </c>
      <c r="F72" s="30">
        <f t="shared" si="22"/>
        <v>55.108837269212216</v>
      </c>
      <c r="G72" s="30">
        <f t="shared" si="22"/>
        <v>59.330613272053803</v>
      </c>
      <c r="H72" s="30">
        <f t="shared" si="22"/>
        <v>64.218278390877771</v>
      </c>
      <c r="I72" s="30">
        <f t="shared" si="22"/>
        <v>70.575713401545144</v>
      </c>
      <c r="J72" s="30">
        <f t="shared" si="22"/>
        <v>79.685835620921537</v>
      </c>
      <c r="K72" s="30">
        <f t="shared" si="22"/>
        <v>94.080670687873607</v>
      </c>
      <c r="L72" s="30">
        <f t="shared" si="22"/>
        <v>133.75436047554206</v>
      </c>
      <c r="M72" s="29">
        <f t="shared" si="6"/>
        <v>699.76452512456888</v>
      </c>
    </row>
    <row r="73" spans="2:13">
      <c r="B73" t="str">
        <f t="shared" si="4"/>
        <v>Total</v>
      </c>
      <c r="C73" s="29">
        <f>+SUM(C55:C72)</f>
        <v>67.804103966608679</v>
      </c>
      <c r="D73" s="29">
        <f t="shared" ref="D73:L73" si="23">+SUM(D55:D72)</f>
        <v>71.825948451834932</v>
      </c>
      <c r="E73" s="29">
        <f t="shared" si="23"/>
        <v>79.377213434705297</v>
      </c>
      <c r="F73" s="29">
        <f t="shared" si="23"/>
        <v>87.026672207338095</v>
      </c>
      <c r="G73" s="29">
        <f t="shared" si="23"/>
        <v>93.371420498589373</v>
      </c>
      <c r="H73" s="29">
        <f t="shared" si="23"/>
        <v>101.29026626684461</v>
      </c>
      <c r="I73" s="29">
        <f t="shared" si="23"/>
        <v>109.94164698878367</v>
      </c>
      <c r="J73" s="29">
        <f t="shared" si="23"/>
        <v>124.64391250241025</v>
      </c>
      <c r="K73" s="29">
        <f t="shared" si="23"/>
        <v>143.7436405076493</v>
      </c>
      <c r="L73" s="29">
        <f t="shared" si="23"/>
        <v>200.84621749639297</v>
      </c>
    </row>
    <row r="76" spans="2:13">
      <c r="B76" t="s">
        <v>432</v>
      </c>
    </row>
    <row r="77" spans="2:13">
      <c r="B77" s="21"/>
      <c r="C77" t="str">
        <f>+C4</f>
        <v>D1</v>
      </c>
      <c r="D77" t="str">
        <f t="shared" ref="D77:L77" si="24">+D4</f>
        <v>D2</v>
      </c>
      <c r="E77" t="str">
        <f t="shared" si="24"/>
        <v>D3</v>
      </c>
      <c r="F77" t="str">
        <f t="shared" si="24"/>
        <v>D4</v>
      </c>
      <c r="G77" t="str">
        <f t="shared" si="24"/>
        <v>D5</v>
      </c>
      <c r="H77" t="str">
        <f t="shared" si="24"/>
        <v>D6</v>
      </c>
      <c r="I77" t="str">
        <f t="shared" si="24"/>
        <v>D7</v>
      </c>
      <c r="J77" t="str">
        <f t="shared" si="24"/>
        <v>D8</v>
      </c>
      <c r="K77" t="str">
        <f t="shared" si="24"/>
        <v>D9</v>
      </c>
      <c r="L77" t="str">
        <f t="shared" si="24"/>
        <v>D10</v>
      </c>
      <c r="M77" t="s">
        <v>397</v>
      </c>
    </row>
    <row r="78" spans="2:13">
      <c r="B78" t="str">
        <f>+B5</f>
        <v>oil</v>
      </c>
      <c r="C78" s="30">
        <f>+C5-C55</f>
        <v>0.29654814030434773</v>
      </c>
      <c r="D78" s="30">
        <f t="shared" ref="D78:L78" si="25">+D5-D55</f>
        <v>0.35998879223833402</v>
      </c>
      <c r="E78" s="30">
        <f t="shared" si="25"/>
        <v>0.45811700743650263</v>
      </c>
      <c r="F78" s="30">
        <f t="shared" si="25"/>
        <v>0.52607958069350591</v>
      </c>
      <c r="G78" s="30">
        <f t="shared" si="25"/>
        <v>0.5861875151316962</v>
      </c>
      <c r="H78" s="30">
        <f t="shared" si="25"/>
        <v>0.63357260910844415</v>
      </c>
      <c r="I78" s="30">
        <f t="shared" si="25"/>
        <v>0.70235382204931796</v>
      </c>
      <c r="J78" s="30">
        <f t="shared" si="25"/>
        <v>0.73580964680647698</v>
      </c>
      <c r="K78" s="30">
        <f t="shared" si="25"/>
        <v>0.77648218811810654</v>
      </c>
      <c r="L78" s="30">
        <f t="shared" si="25"/>
        <v>0.84963898055827514</v>
      </c>
      <c r="M78" s="29">
        <f>+SUM(C78:L78)</f>
        <v>5.9247782824450068</v>
      </c>
    </row>
    <row r="79" spans="2:13">
      <c r="B79" t="str">
        <f t="shared" ref="B79:B96" si="26">+B6</f>
        <v>gas</v>
      </c>
      <c r="C79" s="30">
        <f t="shared" ref="C79:L79" si="27">+C6-C56</f>
        <v>0.24625778141649798</v>
      </c>
      <c r="D79" s="30">
        <f t="shared" si="27"/>
        <v>0.26715013702919144</v>
      </c>
      <c r="E79" s="30">
        <f t="shared" si="27"/>
        <v>0.28805879891094655</v>
      </c>
      <c r="F79" s="30">
        <f t="shared" si="27"/>
        <v>0.29524622386471377</v>
      </c>
      <c r="G79" s="30">
        <f t="shared" si="27"/>
        <v>0.31243795292623899</v>
      </c>
      <c r="H79" s="30">
        <f t="shared" si="27"/>
        <v>0.33132637004549204</v>
      </c>
      <c r="I79" s="30">
        <f t="shared" si="27"/>
        <v>0.34238474772232469</v>
      </c>
      <c r="J79" s="30">
        <f t="shared" si="27"/>
        <v>0.35293735559964368</v>
      </c>
      <c r="K79" s="30">
        <f t="shared" si="27"/>
        <v>0.38431553443795458</v>
      </c>
      <c r="L79" s="30">
        <f t="shared" si="27"/>
        <v>0.45590778844626623</v>
      </c>
      <c r="M79" s="29">
        <f t="shared" ref="M79:M95" si="28">+SUM(C79:L79)</f>
        <v>3.2760226903992704</v>
      </c>
    </row>
    <row r="80" spans="2:13">
      <c r="B80" t="str">
        <f t="shared" si="26"/>
        <v>ppp</v>
      </c>
      <c r="C80" s="30">
        <f t="shared" ref="C80:L80" si="29">+C7-C57</f>
        <v>0.34304295676417706</v>
      </c>
      <c r="D80" s="30">
        <f t="shared" si="29"/>
        <v>0.39804270224169325</v>
      </c>
      <c r="E80" s="30">
        <f t="shared" si="29"/>
        <v>0.43716861881883884</v>
      </c>
      <c r="F80" s="30">
        <f t="shared" si="29"/>
        <v>0.50095437679220156</v>
      </c>
      <c r="G80" s="30">
        <f t="shared" si="29"/>
        <v>0.52081558853140608</v>
      </c>
      <c r="H80" s="30">
        <f t="shared" si="29"/>
        <v>0.58441878903237754</v>
      </c>
      <c r="I80" s="30">
        <f t="shared" si="29"/>
        <v>0.61703599836949596</v>
      </c>
      <c r="J80" s="30">
        <f t="shared" si="29"/>
        <v>0.69357118767400738</v>
      </c>
      <c r="K80" s="30">
        <f t="shared" si="29"/>
        <v>0.77628428106199143</v>
      </c>
      <c r="L80" s="30">
        <f t="shared" si="29"/>
        <v>1.0206230475063798</v>
      </c>
      <c r="M80" s="29">
        <f t="shared" si="28"/>
        <v>5.8919575467925682</v>
      </c>
    </row>
    <row r="81" spans="2:13">
      <c r="B81" t="str">
        <f t="shared" si="26"/>
        <v>nmm</v>
      </c>
      <c r="C81" s="30">
        <f t="shared" ref="C81:L81" si="30">+C8-C58</f>
        <v>5.7307342611327861E-2</v>
      </c>
      <c r="D81" s="30">
        <f t="shared" si="30"/>
        <v>7.346089070068279E-2</v>
      </c>
      <c r="E81" s="30">
        <f t="shared" si="30"/>
        <v>9.1804003355256458E-2</v>
      </c>
      <c r="F81" s="30">
        <f t="shared" si="30"/>
        <v>0.11105233569755513</v>
      </c>
      <c r="G81" s="30">
        <f t="shared" si="30"/>
        <v>0.12561176820128189</v>
      </c>
      <c r="H81" s="30">
        <f t="shared" si="30"/>
        <v>0.13448435073538856</v>
      </c>
      <c r="I81" s="30">
        <f t="shared" si="30"/>
        <v>0.14293958043240684</v>
      </c>
      <c r="J81" s="30">
        <f t="shared" si="30"/>
        <v>0.15302872902065268</v>
      </c>
      <c r="K81" s="30">
        <f t="shared" si="30"/>
        <v>0.17580394052228532</v>
      </c>
      <c r="L81" s="30">
        <f t="shared" si="30"/>
        <v>0.20705239277947207</v>
      </c>
      <c r="M81" s="29">
        <f t="shared" si="28"/>
        <v>1.2725453340563098</v>
      </c>
    </row>
    <row r="82" spans="2:13">
      <c r="B82" t="str">
        <f t="shared" si="26"/>
        <v>nfm</v>
      </c>
      <c r="C82" s="30">
        <f t="shared" ref="C82:L82" si="31">+C9-C59</f>
        <v>6.4131273693819905E-4</v>
      </c>
      <c r="D82" s="30">
        <f t="shared" si="31"/>
        <v>8.7282495236768918E-4</v>
      </c>
      <c r="E82" s="30">
        <f t="shared" si="31"/>
        <v>1.0771316934673749E-3</v>
      </c>
      <c r="F82" s="30">
        <f t="shared" si="31"/>
        <v>1.3757669762347856E-3</v>
      </c>
      <c r="G82" s="30">
        <f t="shared" si="31"/>
        <v>1.7719735545368243E-3</v>
      </c>
      <c r="H82" s="30">
        <f t="shared" si="31"/>
        <v>1.9368579601816691E-3</v>
      </c>
      <c r="I82" s="30">
        <f t="shared" si="31"/>
        <v>1.9465394412304907E-3</v>
      </c>
      <c r="J82" s="30">
        <f t="shared" si="31"/>
        <v>2.0148006273825831E-3</v>
      </c>
      <c r="K82" s="30">
        <f t="shared" si="31"/>
        <v>2.381493780067251E-3</v>
      </c>
      <c r="L82" s="30">
        <f t="shared" si="31"/>
        <v>2.671950529786235E-3</v>
      </c>
      <c r="M82" s="29">
        <f t="shared" si="28"/>
        <v>1.66906522521931E-2</v>
      </c>
    </row>
    <row r="83" spans="2:13">
      <c r="B83" t="str">
        <f t="shared" si="26"/>
        <v>mvh</v>
      </c>
      <c r="C83" s="30">
        <f t="shared" ref="C83:L83" si="32">+C10-C60</f>
        <v>0.5907838421026913</v>
      </c>
      <c r="D83" s="30">
        <f t="shared" si="32"/>
        <v>0.69588528669581939</v>
      </c>
      <c r="E83" s="30">
        <f t="shared" si="32"/>
        <v>1.0510550551527407</v>
      </c>
      <c r="F83" s="30">
        <f t="shared" si="32"/>
        <v>1.6830779982438675</v>
      </c>
      <c r="G83" s="30">
        <f t="shared" si="32"/>
        <v>1.8138141907840004</v>
      </c>
      <c r="H83" s="30">
        <f t="shared" si="32"/>
        <v>2.1619523059917629</v>
      </c>
      <c r="I83" s="30">
        <f t="shared" si="32"/>
        <v>2.2262595634861042</v>
      </c>
      <c r="J83" s="30">
        <f t="shared" si="32"/>
        <v>3.6878875617790472</v>
      </c>
      <c r="K83" s="30">
        <f t="shared" si="32"/>
        <v>4.4887218671467739</v>
      </c>
      <c r="L83" s="30">
        <f t="shared" si="32"/>
        <v>8.4074998698593042</v>
      </c>
      <c r="M83" s="29">
        <f t="shared" si="28"/>
        <v>26.80693754124211</v>
      </c>
    </row>
    <row r="84" spans="2:13">
      <c r="B84" t="str">
        <f t="shared" si="26"/>
        <v>ele</v>
      </c>
      <c r="C84" s="30">
        <f t="shared" ref="C84:L84" si="33">+C11-C61</f>
        <v>0.10571348269498837</v>
      </c>
      <c r="D84" s="30">
        <f t="shared" si="33"/>
        <v>0.1035874356165456</v>
      </c>
      <c r="E84" s="30">
        <f t="shared" si="33"/>
        <v>0.10683985971452103</v>
      </c>
      <c r="F84" s="30">
        <f t="shared" si="33"/>
        <v>0.10338588749439648</v>
      </c>
      <c r="G84" s="30">
        <f t="shared" si="33"/>
        <v>0.10820960529607482</v>
      </c>
      <c r="H84" s="30">
        <f t="shared" si="33"/>
        <v>0.11059590061600644</v>
      </c>
      <c r="I84" s="30">
        <f t="shared" si="33"/>
        <v>0.11330544704717593</v>
      </c>
      <c r="J84" s="30">
        <f t="shared" si="33"/>
        <v>0.11560848488241282</v>
      </c>
      <c r="K84" s="30">
        <f t="shared" si="33"/>
        <v>0.11902436923413195</v>
      </c>
      <c r="L84" s="30">
        <f t="shared" si="33"/>
        <v>0.12794659180464629</v>
      </c>
      <c r="M84" s="29">
        <f t="shared" si="28"/>
        <v>1.1142170644008997</v>
      </c>
    </row>
    <row r="85" spans="2:13">
      <c r="B85" t="str">
        <f t="shared" si="26"/>
        <v>COL</v>
      </c>
      <c r="C85" s="30">
        <f t="shared" ref="C85:L85" si="34">+C12-C62</f>
        <v>4.7040055977753872E-3</v>
      </c>
      <c r="D85" s="30">
        <f t="shared" si="34"/>
        <v>3.9854903870360399E-3</v>
      </c>
      <c r="E85" s="30">
        <f t="shared" si="34"/>
        <v>3.7369059440909413E-3</v>
      </c>
      <c r="F85" s="30">
        <f t="shared" si="34"/>
        <v>3.5603567860023506E-3</v>
      </c>
      <c r="G85" s="30">
        <f t="shared" si="34"/>
        <v>4.180954132700412E-3</v>
      </c>
      <c r="H85" s="30">
        <f t="shared" si="34"/>
        <v>4.4007935492133086E-3</v>
      </c>
      <c r="I85" s="30">
        <f t="shared" si="34"/>
        <v>4.6195200531457849E-3</v>
      </c>
      <c r="J85" s="30">
        <f t="shared" si="34"/>
        <v>4.6855987277298426E-3</v>
      </c>
      <c r="K85" s="30">
        <f t="shared" si="34"/>
        <v>4.4690934738514116E-3</v>
      </c>
      <c r="L85" s="30">
        <f t="shared" si="34"/>
        <v>4.482986459848225E-3</v>
      </c>
      <c r="M85" s="29">
        <f t="shared" si="28"/>
        <v>4.2825705111393698E-2</v>
      </c>
    </row>
    <row r="86" spans="2:13">
      <c r="B86" t="str">
        <f t="shared" si="26"/>
        <v>CRU</v>
      </c>
      <c r="C86" s="30">
        <f t="shared" ref="C86:L86" si="35">+C13-C63</f>
        <v>2.1256815885640993E-3</v>
      </c>
      <c r="D86" s="30">
        <f t="shared" si="35"/>
        <v>2.1335778209012612E-3</v>
      </c>
      <c r="E86" s="30">
        <f t="shared" si="35"/>
        <v>2.4239902189515058E-3</v>
      </c>
      <c r="F86" s="30">
        <f t="shared" si="35"/>
        <v>2.7786422915341406E-3</v>
      </c>
      <c r="G86" s="30">
        <f t="shared" si="35"/>
        <v>2.9404583382657131E-3</v>
      </c>
      <c r="H86" s="30">
        <f t="shared" si="35"/>
        <v>3.0053698393101521E-3</v>
      </c>
      <c r="I86" s="30">
        <f t="shared" si="35"/>
        <v>3.3987156437294392E-3</v>
      </c>
      <c r="J86" s="30">
        <f t="shared" si="35"/>
        <v>3.3891380665133234E-3</v>
      </c>
      <c r="K86" s="30">
        <f t="shared" si="35"/>
        <v>3.6754000034665791E-3</v>
      </c>
      <c r="L86" s="30">
        <f t="shared" si="35"/>
        <v>4.1584243663029862E-3</v>
      </c>
      <c r="M86" s="29">
        <f t="shared" si="28"/>
        <v>3.0029398177539197E-2</v>
      </c>
    </row>
    <row r="87" spans="2:13">
      <c r="B87" t="str">
        <f t="shared" si="26"/>
        <v>CHM</v>
      </c>
      <c r="C87" s="30">
        <f t="shared" ref="C87:L87" si="36">+C14-C64</f>
        <v>1.3172530468637116</v>
      </c>
      <c r="D87" s="30">
        <f t="shared" si="36"/>
        <v>1.5774026243542245</v>
      </c>
      <c r="E87" s="30">
        <f t="shared" si="36"/>
        <v>1.796719752713078</v>
      </c>
      <c r="F87" s="30">
        <f t="shared" si="36"/>
        <v>2.0457675881180934</v>
      </c>
      <c r="G87" s="30">
        <f t="shared" si="36"/>
        <v>2.2163293050372381</v>
      </c>
      <c r="H87" s="30">
        <f t="shared" si="36"/>
        <v>2.4732107574489874</v>
      </c>
      <c r="I87" s="30">
        <f t="shared" si="36"/>
        <v>2.6701264653385053</v>
      </c>
      <c r="J87" s="30">
        <f t="shared" si="36"/>
        <v>2.874914034615689</v>
      </c>
      <c r="K87" s="30">
        <f t="shared" si="36"/>
        <v>3.0425528391830978</v>
      </c>
      <c r="L87" s="30">
        <f t="shared" si="36"/>
        <v>3.55052674694877</v>
      </c>
      <c r="M87" s="29">
        <f t="shared" si="28"/>
        <v>23.564803160621395</v>
      </c>
    </row>
    <row r="88" spans="2:13">
      <c r="B88" t="str">
        <f t="shared" si="26"/>
        <v>IRS</v>
      </c>
      <c r="C88" s="30">
        <f t="shared" ref="C88:L88" si="37">+C15-C65</f>
        <v>3.0381001102903948E-5</v>
      </c>
      <c r="D88" s="30">
        <f t="shared" si="37"/>
        <v>4.1348462790752685E-5</v>
      </c>
      <c r="E88" s="30">
        <f t="shared" si="37"/>
        <v>5.1027115605780711E-5</v>
      </c>
      <c r="F88" s="30">
        <f t="shared" si="37"/>
        <v>6.5174408077218159E-5</v>
      </c>
      <c r="G88" s="30">
        <f t="shared" si="37"/>
        <v>8.394395965331911E-5</v>
      </c>
      <c r="H88" s="30">
        <f t="shared" si="37"/>
        <v>9.1755052465327985E-5</v>
      </c>
      <c r="I88" s="30">
        <f t="shared" si="37"/>
        <v>9.2213694668235593E-5</v>
      </c>
      <c r="J88" s="30">
        <f t="shared" si="37"/>
        <v>9.5447441719125764E-5</v>
      </c>
      <c r="K88" s="30">
        <f t="shared" si="37"/>
        <v>1.1281884951203503E-4</v>
      </c>
      <c r="L88" s="30">
        <f t="shared" si="37"/>
        <v>1.2657869915370641E-4</v>
      </c>
      <c r="M88" s="29">
        <f t="shared" si="28"/>
        <v>7.9068868474840544E-4</v>
      </c>
    </row>
    <row r="89" spans="2:13">
      <c r="B89" t="str">
        <f t="shared" si="26"/>
        <v>MAC</v>
      </c>
      <c r="C89" s="30">
        <f t="shared" ref="C89:L89" si="38">+C16-C66</f>
        <v>0.91696280913154937</v>
      </c>
      <c r="D89" s="30">
        <f t="shared" si="38"/>
        <v>1.1565131684034828</v>
      </c>
      <c r="E89" s="30">
        <f t="shared" si="38"/>
        <v>1.5629185887975057</v>
      </c>
      <c r="F89" s="30">
        <f t="shared" si="38"/>
        <v>2.0101507881464338</v>
      </c>
      <c r="G89" s="30">
        <f t="shared" si="38"/>
        <v>2.1972902464890547</v>
      </c>
      <c r="H89" s="30">
        <f t="shared" si="38"/>
        <v>2.5256046323217771</v>
      </c>
      <c r="I89" s="30">
        <f t="shared" si="38"/>
        <v>2.7323257091902344</v>
      </c>
      <c r="J89" s="30">
        <f t="shared" si="38"/>
        <v>3.6667596755281826</v>
      </c>
      <c r="K89" s="30">
        <f t="shared" si="38"/>
        <v>4.2915023908070777</v>
      </c>
      <c r="L89" s="30">
        <f t="shared" si="38"/>
        <v>6.8242265004928058</v>
      </c>
      <c r="M89" s="29">
        <f t="shared" si="28"/>
        <v>27.884254509308107</v>
      </c>
    </row>
    <row r="90" spans="2:13">
      <c r="B90" t="str">
        <f t="shared" si="26"/>
        <v>FOT</v>
      </c>
      <c r="C90" s="30">
        <f t="shared" ref="C90:L90" si="39">+C17-C67</f>
        <v>2.8853786203546772</v>
      </c>
      <c r="D90" s="30">
        <f t="shared" si="39"/>
        <v>3.0163852436371954</v>
      </c>
      <c r="E90" s="30">
        <f t="shared" si="39"/>
        <v>3.2493645350435383</v>
      </c>
      <c r="F90" s="30">
        <f t="shared" si="39"/>
        <v>3.3164668759236786</v>
      </c>
      <c r="G90" s="30">
        <f t="shared" si="39"/>
        <v>3.482953594934207</v>
      </c>
      <c r="H90" s="30">
        <f t="shared" si="39"/>
        <v>3.5719480594153961</v>
      </c>
      <c r="I90" s="30">
        <f t="shared" si="39"/>
        <v>3.7194810984316504</v>
      </c>
      <c r="J90" s="30">
        <f t="shared" si="39"/>
        <v>3.7860190793294421</v>
      </c>
      <c r="K90" s="30">
        <f t="shared" si="39"/>
        <v>3.8055636205252235</v>
      </c>
      <c r="L90" s="30">
        <f t="shared" si="39"/>
        <v>4.1012649503174199</v>
      </c>
      <c r="M90" s="29">
        <f t="shared" si="28"/>
        <v>34.934825677912428</v>
      </c>
    </row>
    <row r="91" spans="2:13">
      <c r="B91" t="str">
        <f t="shared" si="26"/>
        <v>ROI</v>
      </c>
      <c r="C91" s="30">
        <f t="shared" ref="C91:L91" si="40">+C18-C68</f>
        <v>2.7115527971217586</v>
      </c>
      <c r="D91" s="30">
        <f t="shared" si="40"/>
        <v>3.2755729196077437</v>
      </c>
      <c r="E91" s="30">
        <f t="shared" si="40"/>
        <v>3.8596443930282067</v>
      </c>
      <c r="F91" s="30">
        <f t="shared" si="40"/>
        <v>4.5462941019375931</v>
      </c>
      <c r="G91" s="30">
        <f t="shared" si="40"/>
        <v>4.9867289405746869</v>
      </c>
      <c r="H91" s="30">
        <f t="shared" si="40"/>
        <v>5.5856071486304195</v>
      </c>
      <c r="I91" s="30">
        <f t="shared" si="40"/>
        <v>6.2463303850009941</v>
      </c>
      <c r="J91" s="30">
        <f t="shared" si="40"/>
        <v>6.8540407239360324</v>
      </c>
      <c r="K91" s="30">
        <f t="shared" si="40"/>
        <v>7.7583880148174273</v>
      </c>
      <c r="L91" s="30">
        <f t="shared" si="40"/>
        <v>10.280317461546938</v>
      </c>
      <c r="M91" s="29">
        <f t="shared" si="28"/>
        <v>56.104476886201802</v>
      </c>
    </row>
    <row r="92" spans="2:13">
      <c r="B92" t="str">
        <f t="shared" si="26"/>
        <v>BUI</v>
      </c>
      <c r="C92" s="30">
        <f t="shared" ref="C92:L92" si="41">+C19-C69</f>
        <v>4.7776886173390154E-3</v>
      </c>
      <c r="D92" s="30">
        <f t="shared" si="41"/>
        <v>5.6215402713344353E-3</v>
      </c>
      <c r="E92" s="30">
        <f t="shared" si="41"/>
        <v>7.1895335154548434E-3</v>
      </c>
      <c r="F92" s="30">
        <f t="shared" si="41"/>
        <v>1.0388104558138378E-2</v>
      </c>
      <c r="G92" s="30">
        <f t="shared" si="41"/>
        <v>1.3470188559221885E-2</v>
      </c>
      <c r="H92" s="30">
        <f t="shared" si="41"/>
        <v>1.3387342704373861E-2</v>
      </c>
      <c r="I92" s="30">
        <f t="shared" si="41"/>
        <v>1.5253484021387875E-2</v>
      </c>
      <c r="J92" s="30">
        <f t="shared" si="41"/>
        <v>1.8297699688936742E-2</v>
      </c>
      <c r="K92" s="30">
        <f t="shared" si="41"/>
        <v>2.3531343582809616E-2</v>
      </c>
      <c r="L92" s="30">
        <f t="shared" si="41"/>
        <v>2.6930010699072304E-2</v>
      </c>
      <c r="M92" s="29">
        <f t="shared" si="28"/>
        <v>0.13884693621806896</v>
      </c>
    </row>
    <row r="93" spans="2:13">
      <c r="B93" t="str">
        <f t="shared" si="26"/>
        <v>TRN</v>
      </c>
      <c r="C93" s="30">
        <f t="shared" ref="C93:L93" si="42">+C20-C70</f>
        <v>0.77849917934268076</v>
      </c>
      <c r="D93" s="30">
        <f t="shared" si="42"/>
        <v>0.87667561491865875</v>
      </c>
      <c r="E93" s="30">
        <f t="shared" si="42"/>
        <v>0.85187581737989193</v>
      </c>
      <c r="F93" s="30">
        <f t="shared" si="42"/>
        <v>0.98927952344321612</v>
      </c>
      <c r="G93" s="30">
        <f t="shared" si="42"/>
        <v>0.99581801942464354</v>
      </c>
      <c r="H93" s="30">
        <f t="shared" si="42"/>
        <v>1.1696021907741025</v>
      </c>
      <c r="I93" s="30">
        <f t="shared" si="42"/>
        <v>1.2034727412037638</v>
      </c>
      <c r="J93" s="30">
        <f t="shared" si="42"/>
        <v>1.4549534052181343</v>
      </c>
      <c r="K93" s="30">
        <f t="shared" si="42"/>
        <v>1.7667487925831233</v>
      </c>
      <c r="L93" s="30">
        <f t="shared" si="42"/>
        <v>2.8109203787755792</v>
      </c>
      <c r="M93" s="29">
        <f t="shared" si="28"/>
        <v>12.897845663063793</v>
      </c>
    </row>
    <row r="94" spans="2:13">
      <c r="B94" t="str">
        <f t="shared" si="26"/>
        <v>AGR</v>
      </c>
      <c r="C94" s="30">
        <f t="shared" ref="C94:L94" si="43">+C21-C71</f>
        <v>0.73411198486159579</v>
      </c>
      <c r="D94" s="30">
        <f t="shared" si="43"/>
        <v>0.77400925554654509</v>
      </c>
      <c r="E94" s="30">
        <f t="shared" si="43"/>
        <v>0.83749968652102513</v>
      </c>
      <c r="F94" s="30">
        <f t="shared" si="43"/>
        <v>0.85199556798946396</v>
      </c>
      <c r="G94" s="30">
        <f t="shared" si="43"/>
        <v>0.88688700702009349</v>
      </c>
      <c r="H94" s="30">
        <f t="shared" si="43"/>
        <v>0.90796899790856256</v>
      </c>
      <c r="I94" s="30">
        <f t="shared" si="43"/>
        <v>0.94094222766179691</v>
      </c>
      <c r="J94" s="30">
        <f t="shared" si="43"/>
        <v>0.95316247532444842</v>
      </c>
      <c r="K94" s="30">
        <f t="shared" si="43"/>
        <v>0.96721313677727139</v>
      </c>
      <c r="L94" s="30">
        <f t="shared" si="43"/>
        <v>1.0259065015990179</v>
      </c>
      <c r="M94" s="29">
        <f t="shared" si="28"/>
        <v>8.8796968412098192</v>
      </c>
    </row>
    <row r="95" spans="2:13">
      <c r="B95" t="str">
        <f t="shared" si="26"/>
        <v>SER</v>
      </c>
      <c r="C95" s="30">
        <f t="shared" ref="C95:L95" si="44">+C22-C72</f>
        <v>2.8994334471999821</v>
      </c>
      <c r="D95" s="30">
        <f t="shared" si="44"/>
        <v>2.999975355002249</v>
      </c>
      <c r="E95" s="30">
        <f t="shared" si="44"/>
        <v>3.2780728337195839</v>
      </c>
      <c r="F95" s="30">
        <f t="shared" si="44"/>
        <v>3.536532956443196</v>
      </c>
      <c r="G95" s="30">
        <f t="shared" si="44"/>
        <v>3.8074595574860268</v>
      </c>
      <c r="H95" s="30">
        <f t="shared" si="44"/>
        <v>4.1211186660667067</v>
      </c>
      <c r="I95" s="30">
        <f t="shared" si="44"/>
        <v>4.5290982125020207</v>
      </c>
      <c r="J95" s="30">
        <f t="shared" si="44"/>
        <v>5.1137276306234867</v>
      </c>
      <c r="K95" s="30">
        <f t="shared" si="44"/>
        <v>6.0374961428885996</v>
      </c>
      <c r="L95" s="30">
        <f t="shared" si="44"/>
        <v>8.5834999852919225</v>
      </c>
      <c r="M95" s="29">
        <f t="shared" si="28"/>
        <v>44.906414787223774</v>
      </c>
    </row>
    <row r="96" spans="2:13">
      <c r="B96" t="str">
        <f t="shared" si="26"/>
        <v>Total</v>
      </c>
      <c r="C96" s="29">
        <f>+SUM(C78:C95)</f>
        <v>13.895124500311706</v>
      </c>
      <c r="D96" s="29">
        <f t="shared" ref="D96" si="45">+SUM(D78:D95)</f>
        <v>15.587304207886795</v>
      </c>
      <c r="E96" s="29">
        <f t="shared" ref="E96" si="46">+SUM(E78:E95)</f>
        <v>17.883617539079204</v>
      </c>
      <c r="F96" s="29">
        <f t="shared" ref="F96" si="47">+SUM(F78:F95)</f>
        <v>20.534451849807901</v>
      </c>
      <c r="G96" s="29">
        <f t="shared" ref="G96" si="48">+SUM(G78:G95)</f>
        <v>22.062990810381024</v>
      </c>
      <c r="H96" s="29">
        <f t="shared" ref="H96" si="49">+SUM(H78:H95)</f>
        <v>24.33423289720097</v>
      </c>
      <c r="I96" s="29">
        <f t="shared" ref="I96" si="50">+SUM(I78:I95)</f>
        <v>26.211366471289956</v>
      </c>
      <c r="J96" s="29">
        <f t="shared" ref="J96" si="51">+SUM(J78:J95)</f>
        <v>30.470902674889935</v>
      </c>
      <c r="K96" s="29">
        <f t="shared" ref="K96" si="52">+SUM(K78:K95)</f>
        <v>34.424267267792771</v>
      </c>
      <c r="L96" s="29">
        <f t="shared" ref="L96" si="53">+SUM(L78:L95)</f>
        <v>48.283701146680961</v>
      </c>
    </row>
  </sheetData>
  <conditionalFormatting sqref="C25:L25">
    <cfRule type="colorScale" priority="2">
      <colorScale>
        <cfvo type="min"/>
        <cfvo type="percentile" val="50"/>
        <cfvo type="max"/>
        <color rgb="FFF8696B"/>
        <color rgb="FFFFEB84"/>
        <color rgb="FF63BE7B"/>
      </colorScale>
    </cfRule>
  </conditionalFormatting>
  <conditionalFormatting sqref="O5:O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69"/>
  <sheetViews>
    <sheetView topLeftCell="A61" workbookViewId="0">
      <selection activeCell="B69" sqref="B69"/>
    </sheetView>
  </sheetViews>
  <sheetFormatPr defaultRowHeight="14.45"/>
  <cols>
    <col min="1" max="1" width="16.140625" customWidth="1"/>
    <col min="2" max="2" width="72.140625" customWidth="1"/>
  </cols>
  <sheetData>
    <row r="1" spans="1:2">
      <c r="A1" s="6" t="s">
        <v>449</v>
      </c>
      <c r="B1" s="6" t="s">
        <v>450</v>
      </c>
    </row>
    <row r="2" spans="1:2">
      <c r="A2" t="s">
        <v>451</v>
      </c>
      <c r="B2" t="s">
        <v>452</v>
      </c>
    </row>
    <row r="3" spans="1:2">
      <c r="A3" t="s">
        <v>453</v>
      </c>
      <c r="B3" t="s">
        <v>454</v>
      </c>
    </row>
    <row r="4" spans="1:2">
      <c r="A4" t="s">
        <v>455</v>
      </c>
      <c r="B4" t="s">
        <v>456</v>
      </c>
    </row>
    <row r="5" spans="1:2">
      <c r="A5" t="s">
        <v>457</v>
      </c>
      <c r="B5" t="s">
        <v>458</v>
      </c>
    </row>
    <row r="6" spans="1:2">
      <c r="A6" t="s">
        <v>459</v>
      </c>
      <c r="B6" t="s">
        <v>460</v>
      </c>
    </row>
    <row r="7" spans="1:2">
      <c r="A7" t="s">
        <v>461</v>
      </c>
      <c r="B7" t="s">
        <v>462</v>
      </c>
    </row>
    <row r="8" spans="1:2">
      <c r="A8" t="s">
        <v>463</v>
      </c>
      <c r="B8" t="s">
        <v>464</v>
      </c>
    </row>
    <row r="9" spans="1:2">
      <c r="A9" t="s">
        <v>465</v>
      </c>
      <c r="B9" t="s">
        <v>466</v>
      </c>
    </row>
    <row r="10" spans="1:2">
      <c r="A10" t="s">
        <v>467</v>
      </c>
      <c r="B10" t="s">
        <v>468</v>
      </c>
    </row>
    <row r="11" spans="1:2">
      <c r="A11" t="s">
        <v>469</v>
      </c>
      <c r="B11" t="s">
        <v>470</v>
      </c>
    </row>
    <row r="12" spans="1:2">
      <c r="A12" t="s">
        <v>471</v>
      </c>
      <c r="B12" t="s">
        <v>472</v>
      </c>
    </row>
    <row r="13" spans="1:2">
      <c r="A13" t="s">
        <v>473</v>
      </c>
      <c r="B13" t="s">
        <v>474</v>
      </c>
    </row>
    <row r="14" spans="1:2">
      <c r="A14" t="s">
        <v>475</v>
      </c>
      <c r="B14" t="s">
        <v>476</v>
      </c>
    </row>
    <row r="15" spans="1:2">
      <c r="A15" t="s">
        <v>477</v>
      </c>
      <c r="B15" t="s">
        <v>478</v>
      </c>
    </row>
    <row r="16" spans="1:2">
      <c r="A16" t="s">
        <v>479</v>
      </c>
      <c r="B16" t="s">
        <v>480</v>
      </c>
    </row>
    <row r="17" spans="1:2">
      <c r="A17" t="s">
        <v>481</v>
      </c>
      <c r="B17" t="s">
        <v>482</v>
      </c>
    </row>
    <row r="18" spans="1:2">
      <c r="A18" t="s">
        <v>483</v>
      </c>
      <c r="B18" t="s">
        <v>484</v>
      </c>
    </row>
    <row r="19" spans="1:2">
      <c r="A19" t="s">
        <v>485</v>
      </c>
      <c r="B19" t="s">
        <v>486</v>
      </c>
    </row>
    <row r="20" spans="1:2">
      <c r="A20" t="s">
        <v>487</v>
      </c>
      <c r="B20" t="s">
        <v>488</v>
      </c>
    </row>
    <row r="21" spans="1:2">
      <c r="A21" t="s">
        <v>489</v>
      </c>
      <c r="B21" t="s">
        <v>490</v>
      </c>
    </row>
    <row r="22" spans="1:2">
      <c r="A22" t="s">
        <v>491</v>
      </c>
      <c r="B22" t="s">
        <v>492</v>
      </c>
    </row>
    <row r="23" spans="1:2">
      <c r="A23" t="s">
        <v>493</v>
      </c>
      <c r="B23" t="s">
        <v>494</v>
      </c>
    </row>
    <row r="24" spans="1:2">
      <c r="A24" t="s">
        <v>495</v>
      </c>
      <c r="B24" t="s">
        <v>496</v>
      </c>
    </row>
    <row r="25" spans="1:2">
      <c r="A25" t="s">
        <v>497</v>
      </c>
      <c r="B25" t="s">
        <v>498</v>
      </c>
    </row>
    <row r="26" spans="1:2">
      <c r="A26" t="s">
        <v>499</v>
      </c>
      <c r="B26" t="s">
        <v>500</v>
      </c>
    </row>
    <row r="27" spans="1:2">
      <c r="A27" t="s">
        <v>501</v>
      </c>
      <c r="B27" t="s">
        <v>502</v>
      </c>
    </row>
    <row r="28" spans="1:2">
      <c r="A28" t="s">
        <v>503</v>
      </c>
      <c r="B28" t="s">
        <v>504</v>
      </c>
    </row>
    <row r="29" spans="1:2">
      <c r="A29" t="s">
        <v>505</v>
      </c>
      <c r="B29" t="s">
        <v>506</v>
      </c>
    </row>
    <row r="30" spans="1:2">
      <c r="A30" t="s">
        <v>507</v>
      </c>
      <c r="B30" t="s">
        <v>508</v>
      </c>
    </row>
    <row r="31" spans="1:2">
      <c r="A31" t="s">
        <v>509</v>
      </c>
      <c r="B31" t="s">
        <v>510</v>
      </c>
    </row>
    <row r="32" spans="1:2">
      <c r="A32" t="s">
        <v>511</v>
      </c>
      <c r="B32" t="s">
        <v>512</v>
      </c>
    </row>
    <row r="33" spans="1:2">
      <c r="A33" t="s">
        <v>513</v>
      </c>
      <c r="B33" t="s">
        <v>514</v>
      </c>
    </row>
    <row r="34" spans="1:2">
      <c r="A34" t="s">
        <v>515</v>
      </c>
      <c r="B34" t="s">
        <v>516</v>
      </c>
    </row>
    <row r="35" spans="1:2">
      <c r="A35" t="s">
        <v>517</v>
      </c>
      <c r="B35" t="s">
        <v>518</v>
      </c>
    </row>
    <row r="36" spans="1:2">
      <c r="A36" t="s">
        <v>519</v>
      </c>
      <c r="B36" t="s">
        <v>520</v>
      </c>
    </row>
    <row r="37" spans="1:2">
      <c r="A37" t="s">
        <v>521</v>
      </c>
      <c r="B37" t="s">
        <v>522</v>
      </c>
    </row>
    <row r="38" spans="1:2">
      <c r="A38" t="s">
        <v>523</v>
      </c>
      <c r="B38" t="s">
        <v>524</v>
      </c>
    </row>
    <row r="39" spans="1:2">
      <c r="A39" t="s">
        <v>525</v>
      </c>
      <c r="B39" t="s">
        <v>526</v>
      </c>
    </row>
    <row r="40" spans="1:2">
      <c r="A40" t="s">
        <v>527</v>
      </c>
      <c r="B40" t="s">
        <v>528</v>
      </c>
    </row>
    <row r="41" spans="1:2">
      <c r="A41" t="s">
        <v>529</v>
      </c>
      <c r="B41" t="s">
        <v>530</v>
      </c>
    </row>
    <row r="42" spans="1:2">
      <c r="A42" t="s">
        <v>531</v>
      </c>
      <c r="B42" t="s">
        <v>532</v>
      </c>
    </row>
    <row r="43" spans="1:2">
      <c r="A43" t="s">
        <v>533</v>
      </c>
      <c r="B43" t="s">
        <v>534</v>
      </c>
    </row>
    <row r="44" spans="1:2">
      <c r="A44" t="s">
        <v>535</v>
      </c>
      <c r="B44" t="s">
        <v>536</v>
      </c>
    </row>
    <row r="45" spans="1:2">
      <c r="A45" t="s">
        <v>537</v>
      </c>
      <c r="B45" t="s">
        <v>538</v>
      </c>
    </row>
    <row r="46" spans="1:2">
      <c r="A46" t="s">
        <v>539</v>
      </c>
      <c r="B46" t="s">
        <v>540</v>
      </c>
    </row>
    <row r="47" spans="1:2">
      <c r="A47" t="s">
        <v>541</v>
      </c>
      <c r="B47" t="s">
        <v>542</v>
      </c>
    </row>
    <row r="48" spans="1:2">
      <c r="A48" t="s">
        <v>543</v>
      </c>
      <c r="B48" t="s">
        <v>544</v>
      </c>
    </row>
    <row r="49" spans="1:2">
      <c r="A49" t="s">
        <v>545</v>
      </c>
      <c r="B49" t="s">
        <v>546</v>
      </c>
    </row>
    <row r="50" spans="1:2">
      <c r="A50" t="s">
        <v>547</v>
      </c>
      <c r="B50" t="s">
        <v>548</v>
      </c>
    </row>
    <row r="51" spans="1:2">
      <c r="A51" t="s">
        <v>549</v>
      </c>
      <c r="B51" t="s">
        <v>550</v>
      </c>
    </row>
    <row r="52" spans="1:2">
      <c r="A52" t="s">
        <v>551</v>
      </c>
      <c r="B52" t="s">
        <v>552</v>
      </c>
    </row>
    <row r="53" spans="1:2">
      <c r="A53" t="s">
        <v>553</v>
      </c>
      <c r="B53" t="s">
        <v>554</v>
      </c>
    </row>
    <row r="54" spans="1:2">
      <c r="A54" t="s">
        <v>555</v>
      </c>
      <c r="B54" t="s">
        <v>556</v>
      </c>
    </row>
    <row r="55" spans="1:2">
      <c r="A55" t="s">
        <v>557</v>
      </c>
      <c r="B55" t="s">
        <v>558</v>
      </c>
    </row>
    <row r="56" spans="1:2">
      <c r="A56" t="s">
        <v>559</v>
      </c>
      <c r="B56" t="s">
        <v>560</v>
      </c>
    </row>
    <row r="57" spans="1:2">
      <c r="A57" t="s">
        <v>561</v>
      </c>
      <c r="B57" t="s">
        <v>562</v>
      </c>
    </row>
    <row r="58" spans="1:2">
      <c r="A58" t="s">
        <v>563</v>
      </c>
      <c r="B58" t="s">
        <v>564</v>
      </c>
    </row>
    <row r="59" spans="1:2">
      <c r="A59" t="s">
        <v>565</v>
      </c>
      <c r="B59" t="s">
        <v>566</v>
      </c>
    </row>
    <row r="60" spans="1:2">
      <c r="A60" t="s">
        <v>567</v>
      </c>
      <c r="B60" t="s">
        <v>568</v>
      </c>
    </row>
    <row r="61" spans="1:2">
      <c r="A61" t="s">
        <v>569</v>
      </c>
      <c r="B61" t="s">
        <v>570</v>
      </c>
    </row>
    <row r="62" spans="1:2">
      <c r="A62" t="s">
        <v>571</v>
      </c>
      <c r="B62" t="s">
        <v>572</v>
      </c>
    </row>
    <row r="63" spans="1:2">
      <c r="A63" t="s">
        <v>573</v>
      </c>
      <c r="B63" t="s">
        <v>574</v>
      </c>
    </row>
    <row r="64" spans="1:2">
      <c r="A64" t="s">
        <v>575</v>
      </c>
      <c r="B64" t="s">
        <v>576</v>
      </c>
    </row>
    <row r="65" spans="1:2">
      <c r="A65" t="s">
        <v>577</v>
      </c>
      <c r="B65" t="s">
        <v>578</v>
      </c>
    </row>
    <row r="66" spans="1:2">
      <c r="A66" t="s">
        <v>579</v>
      </c>
      <c r="B66" t="s">
        <v>580</v>
      </c>
    </row>
    <row r="67" spans="1:2">
      <c r="A67" t="s">
        <v>581</v>
      </c>
      <c r="B67" t="s">
        <v>582</v>
      </c>
    </row>
    <row r="68" spans="1:2">
      <c r="A68" t="s">
        <v>583</v>
      </c>
      <c r="B68" t="s">
        <v>584</v>
      </c>
    </row>
    <row r="69" spans="1:2">
      <c r="A69" t="s">
        <v>585</v>
      </c>
      <c r="B69" t="s">
        <v>586</v>
      </c>
    </row>
    <row r="70" spans="1:2">
      <c r="A70" t="s">
        <v>587</v>
      </c>
      <c r="B70" t="s">
        <v>588</v>
      </c>
    </row>
    <row r="71" spans="1:2">
      <c r="A71" t="s">
        <v>589</v>
      </c>
      <c r="B71" t="s">
        <v>590</v>
      </c>
    </row>
    <row r="72" spans="1:2">
      <c r="A72" t="s">
        <v>591</v>
      </c>
      <c r="B72" t="s">
        <v>592</v>
      </c>
    </row>
    <row r="73" spans="1:2">
      <c r="A73" t="s">
        <v>593</v>
      </c>
      <c r="B73" t="s">
        <v>594</v>
      </c>
    </row>
    <row r="74" spans="1:2">
      <c r="A74" t="s">
        <v>595</v>
      </c>
      <c r="B74" t="s">
        <v>596</v>
      </c>
    </row>
    <row r="75" spans="1:2">
      <c r="A75" t="s">
        <v>597</v>
      </c>
      <c r="B75" t="s">
        <v>598</v>
      </c>
    </row>
    <row r="76" spans="1:2">
      <c r="A76" t="s">
        <v>599</v>
      </c>
      <c r="B76" t="s">
        <v>600</v>
      </c>
    </row>
    <row r="77" spans="1:2">
      <c r="A77" t="s">
        <v>601</v>
      </c>
      <c r="B77" t="s">
        <v>602</v>
      </c>
    </row>
    <row r="78" spans="1:2">
      <c r="A78" t="s">
        <v>603</v>
      </c>
      <c r="B78" t="s">
        <v>604</v>
      </c>
    </row>
    <row r="79" spans="1:2">
      <c r="A79" t="s">
        <v>605</v>
      </c>
      <c r="B79" t="s">
        <v>606</v>
      </c>
    </row>
    <row r="80" spans="1:2">
      <c r="A80" t="s">
        <v>607</v>
      </c>
      <c r="B80" t="s">
        <v>608</v>
      </c>
    </row>
    <row r="81" spans="1:2">
      <c r="A81" t="s">
        <v>609</v>
      </c>
      <c r="B81" t="s">
        <v>610</v>
      </c>
    </row>
    <row r="82" spans="1:2">
      <c r="A82" t="s">
        <v>611</v>
      </c>
      <c r="B82" t="s">
        <v>612</v>
      </c>
    </row>
    <row r="83" spans="1:2">
      <c r="A83" t="s">
        <v>613</v>
      </c>
      <c r="B83" t="s">
        <v>614</v>
      </c>
    </row>
    <row r="84" spans="1:2">
      <c r="A84" t="s">
        <v>615</v>
      </c>
      <c r="B84" t="s">
        <v>616</v>
      </c>
    </row>
    <row r="85" spans="1:2">
      <c r="A85" t="s">
        <v>617</v>
      </c>
      <c r="B85" t="s">
        <v>618</v>
      </c>
    </row>
    <row r="86" spans="1:2">
      <c r="A86" t="s">
        <v>619</v>
      </c>
      <c r="B86" t="s">
        <v>620</v>
      </c>
    </row>
    <row r="87" spans="1:2">
      <c r="A87" t="s">
        <v>621</v>
      </c>
      <c r="B87" t="s">
        <v>622</v>
      </c>
    </row>
    <row r="88" spans="1:2">
      <c r="A88" t="s">
        <v>623</v>
      </c>
      <c r="B88" t="s">
        <v>624</v>
      </c>
    </row>
    <row r="89" spans="1:2">
      <c r="A89" t="s">
        <v>625</v>
      </c>
      <c r="B89" t="s">
        <v>626</v>
      </c>
    </row>
    <row r="90" spans="1:2">
      <c r="A90" t="s">
        <v>627</v>
      </c>
      <c r="B90" t="s">
        <v>628</v>
      </c>
    </row>
    <row r="91" spans="1:2">
      <c r="A91" t="s">
        <v>629</v>
      </c>
      <c r="B91" t="s">
        <v>630</v>
      </c>
    </row>
    <row r="92" spans="1:2">
      <c r="A92" t="s">
        <v>631</v>
      </c>
      <c r="B92" t="s">
        <v>632</v>
      </c>
    </row>
    <row r="93" spans="1:2">
      <c r="A93" t="s">
        <v>633</v>
      </c>
      <c r="B93" t="s">
        <v>634</v>
      </c>
    </row>
    <row r="94" spans="1:2">
      <c r="A94" t="s">
        <v>635</v>
      </c>
      <c r="B94" t="s">
        <v>636</v>
      </c>
    </row>
    <row r="95" spans="1:2">
      <c r="A95" t="s">
        <v>637</v>
      </c>
      <c r="B95" t="s">
        <v>638</v>
      </c>
    </row>
    <row r="96" spans="1:2">
      <c r="A96" t="s">
        <v>639</v>
      </c>
      <c r="B96" t="s">
        <v>640</v>
      </c>
    </row>
    <row r="97" spans="1:2">
      <c r="A97" t="s">
        <v>641</v>
      </c>
      <c r="B97" t="s">
        <v>642</v>
      </c>
    </row>
    <row r="98" spans="1:2">
      <c r="A98" t="s">
        <v>643</v>
      </c>
      <c r="B98" t="s">
        <v>644</v>
      </c>
    </row>
    <row r="99" spans="1:2">
      <c r="A99" t="s">
        <v>645</v>
      </c>
      <c r="B99" t="s">
        <v>644</v>
      </c>
    </row>
    <row r="100" spans="1:2">
      <c r="A100" t="s">
        <v>646</v>
      </c>
      <c r="B100" t="s">
        <v>647</v>
      </c>
    </row>
    <row r="101" spans="1:2">
      <c r="A101" t="s">
        <v>648</v>
      </c>
      <c r="B101" t="s">
        <v>647</v>
      </c>
    </row>
    <row r="102" spans="1:2">
      <c r="A102" t="s">
        <v>649</v>
      </c>
      <c r="B102" t="s">
        <v>650</v>
      </c>
    </row>
    <row r="103" spans="1:2">
      <c r="A103" t="s">
        <v>651</v>
      </c>
      <c r="B103" t="s">
        <v>650</v>
      </c>
    </row>
    <row r="104" spans="1:2">
      <c r="A104" t="s">
        <v>652</v>
      </c>
      <c r="B104" t="s">
        <v>653</v>
      </c>
    </row>
    <row r="105" spans="1:2">
      <c r="A105" t="s">
        <v>654</v>
      </c>
      <c r="B105" t="s">
        <v>655</v>
      </c>
    </row>
    <row r="106" spans="1:2">
      <c r="A106" t="s">
        <v>656</v>
      </c>
      <c r="B106" t="s">
        <v>657</v>
      </c>
    </row>
    <row r="107" spans="1:2">
      <c r="A107" t="s">
        <v>658</v>
      </c>
      <c r="B107" t="s">
        <v>659</v>
      </c>
    </row>
    <row r="108" spans="1:2">
      <c r="A108" t="s">
        <v>660</v>
      </c>
      <c r="B108" t="s">
        <v>661</v>
      </c>
    </row>
    <row r="109" spans="1:2">
      <c r="A109" t="s">
        <v>662</v>
      </c>
      <c r="B109" t="s">
        <v>663</v>
      </c>
    </row>
    <row r="110" spans="1:2">
      <c r="A110" t="s">
        <v>664</v>
      </c>
      <c r="B110" t="s">
        <v>665</v>
      </c>
    </row>
    <row r="111" spans="1:2">
      <c r="A111" t="s">
        <v>666</v>
      </c>
      <c r="B111" t="s">
        <v>667</v>
      </c>
    </row>
    <row r="112" spans="1:2">
      <c r="A112" t="s">
        <v>668</v>
      </c>
      <c r="B112" t="s">
        <v>669</v>
      </c>
    </row>
    <row r="113" spans="1:2">
      <c r="A113" t="s">
        <v>670</v>
      </c>
      <c r="B113" t="s">
        <v>671</v>
      </c>
    </row>
    <row r="114" spans="1:2">
      <c r="A114" t="s">
        <v>672</v>
      </c>
      <c r="B114" t="s">
        <v>673</v>
      </c>
    </row>
    <row r="115" spans="1:2">
      <c r="A115" t="s">
        <v>674</v>
      </c>
      <c r="B115" t="s">
        <v>675</v>
      </c>
    </row>
    <row r="116" spans="1:2">
      <c r="A116" t="s">
        <v>676</v>
      </c>
      <c r="B116" t="s">
        <v>677</v>
      </c>
    </row>
    <row r="117" spans="1:2">
      <c r="A117" t="s">
        <v>678</v>
      </c>
      <c r="B117" t="s">
        <v>679</v>
      </c>
    </row>
    <row r="118" spans="1:2">
      <c r="A118" t="s">
        <v>680</v>
      </c>
      <c r="B118" t="s">
        <v>681</v>
      </c>
    </row>
    <row r="119" spans="1:2">
      <c r="A119" t="s">
        <v>682</v>
      </c>
      <c r="B119" t="s">
        <v>683</v>
      </c>
    </row>
    <row r="120" spans="1:2">
      <c r="A120" t="s">
        <v>684</v>
      </c>
      <c r="B120" t="s">
        <v>685</v>
      </c>
    </row>
    <row r="121" spans="1:2">
      <c r="A121" t="s">
        <v>686</v>
      </c>
      <c r="B121" t="s">
        <v>687</v>
      </c>
    </row>
    <row r="122" spans="1:2">
      <c r="A122" t="s">
        <v>688</v>
      </c>
      <c r="B122" t="s">
        <v>689</v>
      </c>
    </row>
    <row r="123" spans="1:2">
      <c r="A123" t="s">
        <v>690</v>
      </c>
      <c r="B123" t="s">
        <v>691</v>
      </c>
    </row>
    <row r="124" spans="1:2">
      <c r="A124" t="s">
        <v>692</v>
      </c>
      <c r="B124" t="s">
        <v>693</v>
      </c>
    </row>
    <row r="125" spans="1:2">
      <c r="A125" t="s">
        <v>694</v>
      </c>
      <c r="B125" t="s">
        <v>695</v>
      </c>
    </row>
    <row r="126" spans="1:2">
      <c r="A126" t="s">
        <v>696</v>
      </c>
      <c r="B126" t="s">
        <v>697</v>
      </c>
    </row>
    <row r="127" spans="1:2">
      <c r="A127" t="s">
        <v>698</v>
      </c>
      <c r="B127" t="s">
        <v>699</v>
      </c>
    </row>
    <row r="128" spans="1:2">
      <c r="A128" t="s">
        <v>700</v>
      </c>
      <c r="B128" t="s">
        <v>701</v>
      </c>
    </row>
    <row r="129" spans="1:2">
      <c r="A129" t="s">
        <v>702</v>
      </c>
      <c r="B129" t="s">
        <v>703</v>
      </c>
    </row>
    <row r="130" spans="1:2">
      <c r="A130" t="s">
        <v>704</v>
      </c>
      <c r="B130" t="s">
        <v>705</v>
      </c>
    </row>
    <row r="131" spans="1:2">
      <c r="A131" t="s">
        <v>706</v>
      </c>
      <c r="B131" t="s">
        <v>705</v>
      </c>
    </row>
    <row r="132" spans="1:2">
      <c r="A132" t="s">
        <v>707</v>
      </c>
      <c r="B132" t="s">
        <v>708</v>
      </c>
    </row>
    <row r="133" spans="1:2">
      <c r="A133" t="s">
        <v>709</v>
      </c>
      <c r="B133" t="s">
        <v>710</v>
      </c>
    </row>
    <row r="134" spans="1:2">
      <c r="A134" t="s">
        <v>711</v>
      </c>
      <c r="B134" t="s">
        <v>712</v>
      </c>
    </row>
    <row r="135" spans="1:2">
      <c r="A135" t="s">
        <v>713</v>
      </c>
      <c r="B135" t="s">
        <v>714</v>
      </c>
    </row>
    <row r="136" spans="1:2">
      <c r="A136" t="s">
        <v>715</v>
      </c>
      <c r="B136" t="s">
        <v>716</v>
      </c>
    </row>
    <row r="137" spans="1:2">
      <c r="A137" t="s">
        <v>717</v>
      </c>
      <c r="B137" t="s">
        <v>718</v>
      </c>
    </row>
    <row r="138" spans="1:2">
      <c r="A138" t="s">
        <v>719</v>
      </c>
      <c r="B138" t="s">
        <v>720</v>
      </c>
    </row>
    <row r="139" spans="1:2">
      <c r="A139" t="s">
        <v>721</v>
      </c>
      <c r="B139" t="s">
        <v>722</v>
      </c>
    </row>
    <row r="140" spans="1:2">
      <c r="A140" t="s">
        <v>723</v>
      </c>
      <c r="B140" t="s">
        <v>724</v>
      </c>
    </row>
    <row r="141" spans="1:2">
      <c r="A141" t="s">
        <v>725</v>
      </c>
      <c r="B141" t="s">
        <v>726</v>
      </c>
    </row>
    <row r="142" spans="1:2">
      <c r="A142" t="s">
        <v>727</v>
      </c>
      <c r="B142" t="s">
        <v>728</v>
      </c>
    </row>
    <row r="143" spans="1:2">
      <c r="A143" t="s">
        <v>729</v>
      </c>
      <c r="B143" t="s">
        <v>730</v>
      </c>
    </row>
    <row r="144" spans="1:2">
      <c r="A144" t="s">
        <v>731</v>
      </c>
      <c r="B144" t="s">
        <v>732</v>
      </c>
    </row>
    <row r="145" spans="1:2">
      <c r="A145" t="s">
        <v>733</v>
      </c>
      <c r="B145" t="s">
        <v>734</v>
      </c>
    </row>
    <row r="146" spans="1:2">
      <c r="A146" t="s">
        <v>735</v>
      </c>
      <c r="B146" t="s">
        <v>736</v>
      </c>
    </row>
    <row r="147" spans="1:2">
      <c r="A147" t="s">
        <v>737</v>
      </c>
      <c r="B147" t="s">
        <v>738</v>
      </c>
    </row>
    <row r="148" spans="1:2">
      <c r="A148" t="s">
        <v>739</v>
      </c>
      <c r="B148" t="s">
        <v>740</v>
      </c>
    </row>
    <row r="149" spans="1:2">
      <c r="A149" t="s">
        <v>741</v>
      </c>
      <c r="B149" t="s">
        <v>742</v>
      </c>
    </row>
    <row r="150" spans="1:2">
      <c r="A150" t="s">
        <v>743</v>
      </c>
      <c r="B150" t="s">
        <v>744</v>
      </c>
    </row>
    <row r="151" spans="1:2">
      <c r="A151" t="s">
        <v>745</v>
      </c>
      <c r="B151" t="s">
        <v>746</v>
      </c>
    </row>
    <row r="152" spans="1:2">
      <c r="A152" t="s">
        <v>747</v>
      </c>
      <c r="B152" t="s">
        <v>748</v>
      </c>
    </row>
    <row r="153" spans="1:2">
      <c r="A153" t="s">
        <v>749</v>
      </c>
      <c r="B153" t="s">
        <v>750</v>
      </c>
    </row>
    <row r="154" spans="1:2">
      <c r="A154" t="s">
        <v>751</v>
      </c>
      <c r="B154" t="s">
        <v>752</v>
      </c>
    </row>
    <row r="155" spans="1:2">
      <c r="A155" t="s">
        <v>753</v>
      </c>
      <c r="B155" t="s">
        <v>754</v>
      </c>
    </row>
    <row r="156" spans="1:2">
      <c r="A156" t="s">
        <v>755</v>
      </c>
      <c r="B156" t="s">
        <v>756</v>
      </c>
    </row>
    <row r="157" spans="1:2">
      <c r="A157" t="s">
        <v>757</v>
      </c>
      <c r="B157" t="s">
        <v>758</v>
      </c>
    </row>
    <row r="158" spans="1:2">
      <c r="A158" t="s">
        <v>759</v>
      </c>
      <c r="B158" t="s">
        <v>760</v>
      </c>
    </row>
    <row r="159" spans="1:2">
      <c r="A159" t="s">
        <v>761</v>
      </c>
      <c r="B159" t="s">
        <v>762</v>
      </c>
    </row>
    <row r="160" spans="1:2">
      <c r="A160" t="s">
        <v>763</v>
      </c>
      <c r="B160" t="s">
        <v>764</v>
      </c>
    </row>
    <row r="161" spans="1:2">
      <c r="A161" t="s">
        <v>765</v>
      </c>
      <c r="B161" t="s">
        <v>766</v>
      </c>
    </row>
    <row r="162" spans="1:2">
      <c r="A162" t="s">
        <v>767</v>
      </c>
      <c r="B162" t="s">
        <v>768</v>
      </c>
    </row>
    <row r="163" spans="1:2">
      <c r="A163" t="s">
        <v>769</v>
      </c>
      <c r="B163" t="s">
        <v>770</v>
      </c>
    </row>
    <row r="164" spans="1:2">
      <c r="A164" t="s">
        <v>771</v>
      </c>
      <c r="B164" t="s">
        <v>772</v>
      </c>
    </row>
    <row r="165" spans="1:2">
      <c r="A165" t="s">
        <v>773</v>
      </c>
      <c r="B165" t="s">
        <v>774</v>
      </c>
    </row>
    <row r="166" spans="1:2">
      <c r="A166" t="s">
        <v>775</v>
      </c>
      <c r="B166" t="s">
        <v>776</v>
      </c>
    </row>
    <row r="167" spans="1:2">
      <c r="A167" t="s">
        <v>777</v>
      </c>
      <c r="B167" t="s">
        <v>778</v>
      </c>
    </row>
    <row r="168" spans="1:2">
      <c r="A168" t="s">
        <v>779</v>
      </c>
      <c r="B168" t="s">
        <v>780</v>
      </c>
    </row>
    <row r="169" spans="1:2">
      <c r="A169" t="s">
        <v>781</v>
      </c>
      <c r="B169" t="s">
        <v>782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55"/>
  <sheetViews>
    <sheetView topLeftCell="A238" workbookViewId="0">
      <selection activeCell="E182" sqref="E182:E183"/>
    </sheetView>
  </sheetViews>
  <sheetFormatPr defaultColWidth="9.140625" defaultRowHeight="14.45"/>
  <cols>
    <col min="1" max="1" width="10.5703125" style="9" customWidth="1"/>
    <col min="2" max="2" width="18" style="8" customWidth="1"/>
    <col min="3" max="3" width="18.42578125" style="8" customWidth="1"/>
    <col min="4" max="5" width="10.5703125" style="9" customWidth="1"/>
    <col min="6" max="6" width="21.42578125" style="8" bestFit="1" customWidth="1"/>
    <col min="7" max="7" width="31.5703125" style="8" bestFit="1" customWidth="1"/>
    <col min="8" max="16384" width="9.140625" style="8"/>
  </cols>
  <sheetData>
    <row r="1" spans="1:8">
      <c r="A1" s="17" t="s">
        <v>783</v>
      </c>
      <c r="D1" s="17" t="s">
        <v>783</v>
      </c>
      <c r="E1" s="16"/>
      <c r="F1" s="16"/>
    </row>
    <row r="2" spans="1:8">
      <c r="A2" s="8"/>
      <c r="D2" s="8"/>
      <c r="E2" s="8"/>
    </row>
    <row r="3" spans="1:8" ht="22.5" customHeight="1">
      <c r="A3" s="8"/>
      <c r="C3" s="14"/>
      <c r="D3" s="48" t="s">
        <v>784</v>
      </c>
      <c r="E3" s="48"/>
      <c r="F3" s="48"/>
      <c r="G3" s="48"/>
      <c r="H3" s="15"/>
    </row>
    <row r="4" spans="1:8">
      <c r="A4" s="13" t="s">
        <v>785</v>
      </c>
      <c r="C4" s="14"/>
      <c r="D4" s="13" t="s">
        <v>785</v>
      </c>
      <c r="E4" s="13" t="s">
        <v>786</v>
      </c>
      <c r="F4" s="13" t="s">
        <v>399</v>
      </c>
      <c r="G4" s="13" t="s">
        <v>398</v>
      </c>
      <c r="H4" s="12"/>
    </row>
    <row r="5" spans="1:8">
      <c r="A5" s="11" t="str">
        <f>+"EUR_HE"&amp;D5</f>
        <v>EUR_HE01.1.1</v>
      </c>
      <c r="B5" s="8" t="s">
        <v>69</v>
      </c>
      <c r="D5" s="11" t="s">
        <v>787</v>
      </c>
      <c r="E5" s="11">
        <v>10.6</v>
      </c>
      <c r="F5" s="11">
        <v>0.22899999999999998</v>
      </c>
      <c r="G5" s="10">
        <v>1</v>
      </c>
    </row>
    <row r="6" spans="1:8">
      <c r="A6" s="11" t="str">
        <f t="shared" ref="A6:A69" si="0">+"EUR_HE"&amp;D6</f>
        <v>EUR_HE01.1.1</v>
      </c>
      <c r="B6" s="8" t="s">
        <v>69</v>
      </c>
      <c r="D6" s="11" t="s">
        <v>787</v>
      </c>
      <c r="E6" s="11">
        <v>10.7</v>
      </c>
      <c r="F6" s="11">
        <v>0.58599999999999997</v>
      </c>
      <c r="G6" s="10">
        <v>1</v>
      </c>
    </row>
    <row r="7" spans="1:8">
      <c r="A7" s="11" t="str">
        <f t="shared" si="0"/>
        <v>EUR_HE01.1.1</v>
      </c>
      <c r="B7" s="8" t="s">
        <v>69</v>
      </c>
      <c r="D7" s="11" t="s">
        <v>787</v>
      </c>
      <c r="E7" s="11">
        <v>10.8</v>
      </c>
      <c r="F7" s="11">
        <v>0.18600000000000003</v>
      </c>
      <c r="G7" s="10">
        <v>0.16716359865180191</v>
      </c>
    </row>
    <row r="8" spans="1:8">
      <c r="A8" s="11" t="str">
        <f t="shared" si="0"/>
        <v>EUR_HE01.1.2</v>
      </c>
      <c r="B8" s="8" t="s">
        <v>71</v>
      </c>
      <c r="D8" s="11" t="s">
        <v>788</v>
      </c>
      <c r="E8" s="11">
        <v>10.1</v>
      </c>
      <c r="F8" s="11">
        <v>1</v>
      </c>
      <c r="G8" s="10">
        <v>1</v>
      </c>
    </row>
    <row r="9" spans="1:8">
      <c r="A9" s="11" t="str">
        <f t="shared" si="0"/>
        <v>EUR_HE01.1.3</v>
      </c>
      <c r="B9" s="8" t="s">
        <v>72</v>
      </c>
      <c r="D9" s="11" t="s">
        <v>789</v>
      </c>
      <c r="E9" s="11">
        <v>3</v>
      </c>
      <c r="F9" s="11">
        <v>0.14000000000000001</v>
      </c>
      <c r="G9" s="10">
        <v>1</v>
      </c>
    </row>
    <row r="10" spans="1:8">
      <c r="A10" s="11" t="str">
        <f t="shared" si="0"/>
        <v>EUR_HE01.1.3</v>
      </c>
      <c r="B10" s="8" t="s">
        <v>72</v>
      </c>
      <c r="D10" s="11" t="s">
        <v>789</v>
      </c>
      <c r="E10" s="11" t="s">
        <v>790</v>
      </c>
      <c r="F10" s="11">
        <v>0.86</v>
      </c>
      <c r="G10" s="10">
        <v>0.23261355174981385</v>
      </c>
    </row>
    <row r="11" spans="1:8">
      <c r="A11" s="11" t="str">
        <f t="shared" si="0"/>
        <v>EUR_HE01.1.4</v>
      </c>
      <c r="B11" s="8" t="s">
        <v>73</v>
      </c>
      <c r="D11" s="11" t="s">
        <v>791</v>
      </c>
      <c r="E11" s="11">
        <v>1</v>
      </c>
      <c r="F11" s="11">
        <v>0.10300000000000001</v>
      </c>
      <c r="G11" s="10">
        <v>6.7762416187029009E-2</v>
      </c>
    </row>
    <row r="12" spans="1:8">
      <c r="A12" s="11" t="str">
        <f t="shared" si="0"/>
        <v>EUR_HE01.1.4</v>
      </c>
      <c r="B12" s="8" t="s">
        <v>73</v>
      </c>
      <c r="D12" s="11" t="s">
        <v>791</v>
      </c>
      <c r="E12" s="11">
        <v>10.5</v>
      </c>
      <c r="F12" s="11">
        <v>0.89700000000000002</v>
      </c>
      <c r="G12" s="10">
        <v>0.84610128960628572</v>
      </c>
    </row>
    <row r="13" spans="1:8">
      <c r="A13" s="11" t="str">
        <f t="shared" si="0"/>
        <v>EUR_HE01.1.5</v>
      </c>
      <c r="B13" s="8" t="s">
        <v>74</v>
      </c>
      <c r="D13" s="11" t="s">
        <v>792</v>
      </c>
      <c r="E13" s="11">
        <v>10.4</v>
      </c>
      <c r="F13" s="11">
        <v>0.61399999999999999</v>
      </c>
      <c r="G13" s="10">
        <v>1</v>
      </c>
    </row>
    <row r="14" spans="1:8">
      <c r="A14" s="11" t="str">
        <f t="shared" si="0"/>
        <v>EUR_HE01.1.5</v>
      </c>
      <c r="B14" s="8" t="s">
        <v>74</v>
      </c>
      <c r="D14" s="11" t="s">
        <v>792</v>
      </c>
      <c r="E14" s="11">
        <v>10.5</v>
      </c>
      <c r="F14" s="11">
        <v>0.38600000000000001</v>
      </c>
      <c r="G14" s="10">
        <v>6.3540866000512425E-2</v>
      </c>
    </row>
    <row r="15" spans="1:8">
      <c r="A15" s="11" t="str">
        <f t="shared" si="0"/>
        <v>EUR_HE01.1.6</v>
      </c>
      <c r="B15" s="8" t="s">
        <v>75</v>
      </c>
      <c r="D15" s="11" t="s">
        <v>793</v>
      </c>
      <c r="E15" s="11">
        <v>1</v>
      </c>
      <c r="F15" s="11">
        <v>0.93</v>
      </c>
      <c r="G15" s="10">
        <v>0.40853260547083603</v>
      </c>
    </row>
    <row r="16" spans="1:8">
      <c r="A16" s="11" t="str">
        <f t="shared" si="0"/>
        <v>EUR_HE01.1.6</v>
      </c>
      <c r="B16" s="8" t="s">
        <v>75</v>
      </c>
      <c r="D16" s="11" t="s">
        <v>793</v>
      </c>
      <c r="E16" s="11" t="s">
        <v>790</v>
      </c>
      <c r="F16" s="11">
        <v>6.9000000000000006E-2</v>
      </c>
      <c r="G16" s="10">
        <v>3.7974683544303799E-2</v>
      </c>
    </row>
    <row r="17" spans="1:7">
      <c r="A17" s="11" t="str">
        <f t="shared" si="0"/>
        <v>EUR_HE01.1.6</v>
      </c>
      <c r="B17" s="8" t="s">
        <v>75</v>
      </c>
      <c r="D17" s="11" t="s">
        <v>793</v>
      </c>
      <c r="E17" s="11">
        <v>10.8</v>
      </c>
      <c r="F17" s="11">
        <v>1E-3</v>
      </c>
      <c r="G17" s="10">
        <v>6.4817215452424163E-4</v>
      </c>
    </row>
    <row r="18" spans="1:7">
      <c r="A18" s="11" t="str">
        <f t="shared" si="0"/>
        <v>EUR_HE01.1.7</v>
      </c>
      <c r="B18" s="8" t="s">
        <v>76</v>
      </c>
      <c r="D18" s="11" t="s">
        <v>794</v>
      </c>
      <c r="E18" s="11">
        <v>1</v>
      </c>
      <c r="F18" s="11">
        <v>0.44299999999999995</v>
      </c>
      <c r="G18" s="10">
        <v>0.33999881326766745</v>
      </c>
    </row>
    <row r="19" spans="1:7">
      <c r="A19" s="11" t="str">
        <f t="shared" si="0"/>
        <v>EUR_HE01.1.7</v>
      </c>
      <c r="B19" s="8" t="s">
        <v>76</v>
      </c>
      <c r="D19" s="11" t="s">
        <v>794</v>
      </c>
      <c r="E19" s="11" t="s">
        <v>790</v>
      </c>
      <c r="F19" s="11">
        <v>0.55700000000000005</v>
      </c>
      <c r="G19" s="10">
        <v>0.53670886075949364</v>
      </c>
    </row>
    <row r="20" spans="1:7">
      <c r="A20" s="11" t="str">
        <f t="shared" si="0"/>
        <v>EUR_HE01.1.8</v>
      </c>
      <c r="B20" s="8" t="s">
        <v>77</v>
      </c>
      <c r="D20" s="11" t="s">
        <v>795</v>
      </c>
      <c r="E20" s="11" t="s">
        <v>790</v>
      </c>
      <c r="F20" s="11">
        <v>4.0999999999999995E-2</v>
      </c>
      <c r="G20" s="10">
        <v>3.0379746835443037E-2</v>
      </c>
    </row>
    <row r="21" spans="1:7">
      <c r="A21" s="11" t="str">
        <f t="shared" si="0"/>
        <v>EUR_HE01.1.8</v>
      </c>
      <c r="B21" s="8" t="s">
        <v>77</v>
      </c>
      <c r="D21" s="11" t="s">
        <v>795</v>
      </c>
      <c r="E21" s="11">
        <v>10.5</v>
      </c>
      <c r="F21" s="11">
        <v>0.107</v>
      </c>
      <c r="G21" s="10">
        <v>9.0357844393201811E-2</v>
      </c>
    </row>
    <row r="22" spans="1:7">
      <c r="A22" s="11" t="str">
        <f t="shared" si="0"/>
        <v>EUR_HE01.1.8</v>
      </c>
      <c r="B22" s="8" t="s">
        <v>77</v>
      </c>
      <c r="D22" s="11" t="s">
        <v>795</v>
      </c>
      <c r="E22" s="11">
        <v>10.8</v>
      </c>
      <c r="F22" s="11">
        <v>0.85099999999999998</v>
      </c>
      <c r="G22" s="10">
        <v>0.54478869587762513</v>
      </c>
    </row>
    <row r="23" spans="1:7">
      <c r="A23" s="11" t="str">
        <f t="shared" si="0"/>
        <v>EUR_HE01.1.9</v>
      </c>
      <c r="B23" s="8" t="s">
        <v>78</v>
      </c>
      <c r="D23" s="11" t="s">
        <v>796</v>
      </c>
      <c r="E23" s="11">
        <v>1</v>
      </c>
      <c r="F23" s="11">
        <v>0.25</v>
      </c>
      <c r="G23" s="10">
        <v>3.5957989675428709E-2</v>
      </c>
    </row>
    <row r="24" spans="1:7">
      <c r="A24" s="11" t="str">
        <f t="shared" si="0"/>
        <v>EUR_HE01.1.9</v>
      </c>
      <c r="B24" s="8" t="s">
        <v>78</v>
      </c>
      <c r="D24" s="11" t="s">
        <v>796</v>
      </c>
      <c r="E24" s="11">
        <v>10.8</v>
      </c>
      <c r="F24" s="11">
        <v>0.75</v>
      </c>
      <c r="G24" s="10">
        <v>0.11790251490795955</v>
      </c>
    </row>
    <row r="25" spans="1:7">
      <c r="A25" s="11" t="str">
        <f t="shared" si="0"/>
        <v>EUR_HE01.2.1</v>
      </c>
      <c r="B25" s="8" t="s">
        <v>80</v>
      </c>
      <c r="D25" s="11" t="s">
        <v>797</v>
      </c>
      <c r="E25" s="11">
        <v>10.8</v>
      </c>
      <c r="F25" s="11">
        <v>1</v>
      </c>
      <c r="G25" s="10">
        <v>0.1694970184080892</v>
      </c>
    </row>
    <row r="26" spans="1:7">
      <c r="A26" s="11" t="str">
        <f t="shared" si="0"/>
        <v>EUR_HE01.2.2</v>
      </c>
      <c r="B26" s="8" t="s">
        <v>82</v>
      </c>
      <c r="D26" s="11" t="s">
        <v>798</v>
      </c>
      <c r="E26" s="11" t="s">
        <v>790</v>
      </c>
      <c r="F26" s="11">
        <v>0.26100000000000001</v>
      </c>
      <c r="G26" s="10">
        <v>0.16232315711094564</v>
      </c>
    </row>
    <row r="27" spans="1:7">
      <c r="A27" s="11" t="str">
        <f t="shared" si="0"/>
        <v>EUR_HE01.2.2</v>
      </c>
      <c r="B27" s="8" t="s">
        <v>82</v>
      </c>
      <c r="D27" s="11" t="s">
        <v>798</v>
      </c>
      <c r="E27" s="11">
        <v>11.07</v>
      </c>
      <c r="F27" s="11">
        <v>0.7390000000000001</v>
      </c>
      <c r="G27" s="10">
        <v>1</v>
      </c>
    </row>
    <row r="28" spans="1:7">
      <c r="A28" s="11" t="str">
        <f t="shared" si="0"/>
        <v>EUR_HE02.1.1</v>
      </c>
      <c r="B28" s="8" t="s">
        <v>88</v>
      </c>
      <c r="D28" s="11" t="s">
        <v>799</v>
      </c>
      <c r="E28" s="11" t="s">
        <v>800</v>
      </c>
      <c r="F28" s="11">
        <v>1</v>
      </c>
      <c r="G28" s="10">
        <v>0.28198341274042704</v>
      </c>
    </row>
    <row r="29" spans="1:7">
      <c r="A29" s="11" t="str">
        <f t="shared" si="0"/>
        <v>EUR_HE02.1.2</v>
      </c>
      <c r="B29" s="8" t="s">
        <v>89</v>
      </c>
      <c r="D29" s="11" t="s">
        <v>801</v>
      </c>
      <c r="E29" s="11" t="s">
        <v>800</v>
      </c>
      <c r="F29" s="11">
        <v>1</v>
      </c>
      <c r="G29" s="10">
        <v>0.46891359331804011</v>
      </c>
    </row>
    <row r="30" spans="1:7">
      <c r="A30" s="11" t="str">
        <f t="shared" si="0"/>
        <v>EUR_HE02.1.3</v>
      </c>
      <c r="B30" s="8" t="s">
        <v>90</v>
      </c>
      <c r="D30" s="11" t="s">
        <v>802</v>
      </c>
      <c r="E30" s="11" t="s">
        <v>800</v>
      </c>
      <c r="F30" s="11">
        <v>1</v>
      </c>
      <c r="G30" s="10">
        <v>0.24910299394153285</v>
      </c>
    </row>
    <row r="31" spans="1:7">
      <c r="A31" s="11" t="str">
        <f t="shared" si="0"/>
        <v>EUR_HE2.2</v>
      </c>
      <c r="B31" s="8" t="s">
        <v>803</v>
      </c>
      <c r="D31" s="11">
        <v>2.2000000000000002</v>
      </c>
      <c r="E31" s="11">
        <v>12</v>
      </c>
      <c r="F31" s="11">
        <v>1</v>
      </c>
      <c r="G31" s="10">
        <v>1</v>
      </c>
    </row>
    <row r="32" spans="1:7">
      <c r="A32" s="11" t="str">
        <f t="shared" si="0"/>
        <v>EUR_HE2.3</v>
      </c>
      <c r="B32" s="8" t="s">
        <v>804</v>
      </c>
      <c r="D32" s="11">
        <v>2.2999999999999998</v>
      </c>
      <c r="E32" s="11">
        <v>21</v>
      </c>
      <c r="F32" s="11">
        <v>1</v>
      </c>
      <c r="G32" s="10">
        <v>0.56619385342789597</v>
      </c>
    </row>
    <row r="33" spans="1:7">
      <c r="A33" s="11" t="str">
        <f t="shared" si="0"/>
        <v>EUR_HE03.1.1</v>
      </c>
      <c r="B33" s="8" t="s">
        <v>93</v>
      </c>
      <c r="D33" s="11" t="s">
        <v>805</v>
      </c>
      <c r="E33" s="11">
        <v>13</v>
      </c>
      <c r="F33" s="11">
        <v>1</v>
      </c>
      <c r="G33" s="10">
        <v>5.3561491374513076E-2</v>
      </c>
    </row>
    <row r="34" spans="1:7">
      <c r="A34" s="11" t="str">
        <f t="shared" si="0"/>
        <v>EUR_HE03.1.2</v>
      </c>
      <c r="B34" s="8" t="s">
        <v>94</v>
      </c>
      <c r="D34" s="11" t="s">
        <v>806</v>
      </c>
      <c r="E34" s="11">
        <v>13</v>
      </c>
      <c r="F34" s="11">
        <v>0.02</v>
      </c>
      <c r="G34" s="10">
        <v>6.1421814134668892E-2</v>
      </c>
    </row>
    <row r="35" spans="1:7">
      <c r="A35" s="11" t="str">
        <f t="shared" si="0"/>
        <v>EUR_HE03.1.2</v>
      </c>
      <c r="B35" s="8" t="s">
        <v>94</v>
      </c>
      <c r="D35" s="11" t="s">
        <v>806</v>
      </c>
      <c r="E35" s="11">
        <v>14</v>
      </c>
      <c r="F35" s="11">
        <v>0.98</v>
      </c>
      <c r="G35" s="10">
        <v>0.968604053540703</v>
      </c>
    </row>
    <row r="36" spans="1:7">
      <c r="A36" s="11" t="str">
        <f t="shared" si="0"/>
        <v>EUR_HE03.1.3</v>
      </c>
      <c r="B36" s="8" t="s">
        <v>95</v>
      </c>
      <c r="D36" s="11" t="s">
        <v>807</v>
      </c>
      <c r="E36" s="11">
        <v>13</v>
      </c>
      <c r="F36" s="11">
        <v>0.4</v>
      </c>
      <c r="G36" s="10">
        <v>9.7662771285475791E-2</v>
      </c>
    </row>
    <row r="37" spans="1:7">
      <c r="A37" s="11" t="str">
        <f t="shared" si="0"/>
        <v>EUR_HE03.1.3</v>
      </c>
      <c r="B37" s="8" t="s">
        <v>95</v>
      </c>
      <c r="D37" s="11" t="s">
        <v>807</v>
      </c>
      <c r="E37" s="11">
        <v>14</v>
      </c>
      <c r="F37" s="11">
        <v>0.4</v>
      </c>
      <c r="G37" s="10">
        <v>3.1395946459296997E-2</v>
      </c>
    </row>
    <row r="38" spans="1:7">
      <c r="A38" s="11" t="str">
        <f t="shared" si="0"/>
        <v>EUR_HE03.1.3</v>
      </c>
      <c r="B38" s="8" t="s">
        <v>95</v>
      </c>
      <c r="D38" s="11" t="s">
        <v>807</v>
      </c>
      <c r="E38" s="11">
        <v>32</v>
      </c>
      <c r="F38" s="11">
        <v>0.2</v>
      </c>
      <c r="G38" s="10">
        <v>2.7129386303910961E-2</v>
      </c>
    </row>
    <row r="39" spans="1:7">
      <c r="A39" s="11" t="str">
        <f t="shared" si="0"/>
        <v>EUR_HE03.1.4</v>
      </c>
      <c r="B39" s="8" t="s">
        <v>96</v>
      </c>
      <c r="D39" s="11" t="s">
        <v>808</v>
      </c>
      <c r="E39" s="11">
        <v>77</v>
      </c>
      <c r="F39" s="11">
        <v>0.1</v>
      </c>
      <c r="G39" s="10">
        <v>1.0616007822321553E-2</v>
      </c>
    </row>
    <row r="40" spans="1:7">
      <c r="A40" s="11" t="str">
        <f t="shared" si="0"/>
        <v>EUR_HE03.1.4</v>
      </c>
      <c r="B40" s="8" t="s">
        <v>96</v>
      </c>
      <c r="D40" s="11" t="s">
        <v>808</v>
      </c>
      <c r="E40" s="11">
        <v>95</v>
      </c>
      <c r="F40" s="11">
        <v>0.10199999999999999</v>
      </c>
      <c r="G40" s="10">
        <v>7.0902394106813996E-2</v>
      </c>
    </row>
    <row r="41" spans="1:7">
      <c r="A41" s="11" t="str">
        <f t="shared" si="0"/>
        <v>EUR_HE03.1.4</v>
      </c>
      <c r="B41" s="8" t="s">
        <v>96</v>
      </c>
      <c r="D41" s="11" t="s">
        <v>808</v>
      </c>
      <c r="E41" s="11">
        <v>96</v>
      </c>
      <c r="F41" s="11">
        <v>0.79799999999999993</v>
      </c>
      <c r="G41" s="10">
        <v>3.4591194968553458E-2</v>
      </c>
    </row>
    <row r="42" spans="1:7">
      <c r="A42" s="11" t="str">
        <f t="shared" si="0"/>
        <v>EUR_HE03.2.1</v>
      </c>
      <c r="B42" s="8" t="s">
        <v>97</v>
      </c>
      <c r="D42" s="11" t="s">
        <v>809</v>
      </c>
      <c r="E42" s="11">
        <v>15</v>
      </c>
      <c r="F42" s="11">
        <v>1</v>
      </c>
      <c r="G42" s="10">
        <v>0.81317422434367537</v>
      </c>
    </row>
    <row r="43" spans="1:7">
      <c r="A43" s="11" t="str">
        <f t="shared" si="0"/>
        <v>EUR_HE03.2.2</v>
      </c>
      <c r="B43" s="8" t="s">
        <v>98</v>
      </c>
      <c r="D43" s="11" t="s">
        <v>810</v>
      </c>
      <c r="E43" s="11">
        <v>95</v>
      </c>
      <c r="F43" s="11">
        <v>1</v>
      </c>
      <c r="G43" s="10">
        <v>4.6040515653775323E-2</v>
      </c>
    </row>
    <row r="44" spans="1:7">
      <c r="A44" s="11" t="str">
        <f t="shared" si="0"/>
        <v>EUR_HE04.1.1</v>
      </c>
      <c r="B44" s="8" t="s">
        <v>99</v>
      </c>
      <c r="D44" s="11" t="s">
        <v>811</v>
      </c>
      <c r="E44" s="11" t="s">
        <v>812</v>
      </c>
      <c r="F44" s="11">
        <v>0.98499999999999999</v>
      </c>
      <c r="G44" s="10">
        <v>0.92677872820104767</v>
      </c>
    </row>
    <row r="45" spans="1:7">
      <c r="A45" s="11" t="str">
        <f t="shared" si="0"/>
        <v>EUR_HE04.1.1</v>
      </c>
      <c r="B45" s="8" t="s">
        <v>99</v>
      </c>
      <c r="D45" s="11" t="s">
        <v>811</v>
      </c>
      <c r="E45" s="11">
        <v>84</v>
      </c>
      <c r="F45" s="11">
        <v>1.4999999999999999E-2</v>
      </c>
      <c r="G45" s="10">
        <v>0.3196998123827392</v>
      </c>
    </row>
    <row r="46" spans="1:7">
      <c r="A46" s="11" t="str">
        <f t="shared" si="0"/>
        <v>EUR_HE04.1.2</v>
      </c>
      <c r="B46" s="8" t="s">
        <v>100</v>
      </c>
      <c r="D46" s="11" t="s">
        <v>813</v>
      </c>
      <c r="E46" s="11" t="s">
        <v>812</v>
      </c>
      <c r="F46" s="11">
        <v>1</v>
      </c>
      <c r="G46" s="10">
        <v>0</v>
      </c>
    </row>
    <row r="47" spans="1:7">
      <c r="A47" s="11" t="str">
        <f t="shared" si="0"/>
        <v>EUR_HE04.2.1</v>
      </c>
      <c r="B47" s="8" t="s">
        <v>101</v>
      </c>
      <c r="D47" s="11" t="s">
        <v>814</v>
      </c>
      <c r="E47" s="11" t="s">
        <v>815</v>
      </c>
      <c r="F47" s="11">
        <v>1</v>
      </c>
      <c r="G47" s="10">
        <v>1</v>
      </c>
    </row>
    <row r="48" spans="1:7">
      <c r="A48" s="11" t="str">
        <f t="shared" si="0"/>
        <v>EUR_HE04.2.2</v>
      </c>
      <c r="B48" s="8" t="s">
        <v>102</v>
      </c>
      <c r="D48" s="11" t="s">
        <v>816</v>
      </c>
      <c r="E48" s="11" t="s">
        <v>812</v>
      </c>
      <c r="F48" s="11">
        <v>1</v>
      </c>
      <c r="G48" s="10">
        <v>6.367283336648763E-2</v>
      </c>
    </row>
    <row r="49" spans="1:7">
      <c r="A49" s="11" t="str">
        <f t="shared" si="0"/>
        <v>EUR_HE04.3.1</v>
      </c>
      <c r="B49" s="8" t="s">
        <v>103</v>
      </c>
      <c r="D49" s="11" t="s">
        <v>817</v>
      </c>
      <c r="E49" s="11">
        <v>16</v>
      </c>
      <c r="F49" s="11">
        <v>0.161</v>
      </c>
      <c r="G49" s="10">
        <v>0.10376398779247202</v>
      </c>
    </row>
    <row r="50" spans="1:7">
      <c r="A50" s="11" t="str">
        <f t="shared" si="0"/>
        <v>EUR_HE04.3.1</v>
      </c>
      <c r="B50" s="8" t="s">
        <v>103</v>
      </c>
      <c r="D50" s="11" t="s">
        <v>817</v>
      </c>
      <c r="E50" s="11">
        <v>17</v>
      </c>
      <c r="F50" s="11">
        <v>0.17</v>
      </c>
      <c r="G50" s="10">
        <v>2.5980274236228049E-2</v>
      </c>
    </row>
    <row r="51" spans="1:7">
      <c r="A51" s="11" t="str">
        <f t="shared" si="0"/>
        <v>EUR_HE04.3.1</v>
      </c>
      <c r="B51" s="8" t="s">
        <v>103</v>
      </c>
      <c r="D51" s="11" t="s">
        <v>817</v>
      </c>
      <c r="E51" s="11">
        <v>20.3</v>
      </c>
      <c r="F51" s="11">
        <v>0.24</v>
      </c>
      <c r="G51" s="10">
        <v>0.96202531645569622</v>
      </c>
    </row>
    <row r="52" spans="1:7">
      <c r="A52" s="11" t="str">
        <f t="shared" si="0"/>
        <v>EUR_HE04.3.1</v>
      </c>
      <c r="B52" s="8" t="s">
        <v>103</v>
      </c>
      <c r="D52" s="11" t="s">
        <v>817</v>
      </c>
      <c r="E52" s="11">
        <v>22</v>
      </c>
      <c r="F52" s="11">
        <v>0.27</v>
      </c>
      <c r="G52" s="10">
        <v>4.7939444911690499E-2</v>
      </c>
    </row>
    <row r="53" spans="1:7">
      <c r="A53" s="11" t="str">
        <f t="shared" si="0"/>
        <v>EUR_HE04.3.1</v>
      </c>
      <c r="B53" s="8" t="s">
        <v>103</v>
      </c>
      <c r="D53" s="11" t="s">
        <v>817</v>
      </c>
      <c r="E53" s="11" t="s">
        <v>818</v>
      </c>
      <c r="F53" s="11">
        <v>3.2000000000000001E-2</v>
      </c>
      <c r="G53" s="10">
        <v>6.0882800608828003E-3</v>
      </c>
    </row>
    <row r="54" spans="1:7">
      <c r="A54" s="11" t="str">
        <f t="shared" si="0"/>
        <v>EUR_HE04.3.1</v>
      </c>
      <c r="B54" s="8" t="s">
        <v>103</v>
      </c>
      <c r="D54" s="11" t="s">
        <v>817</v>
      </c>
      <c r="E54" s="11" t="s">
        <v>819</v>
      </c>
      <c r="F54" s="11">
        <v>2.7000000000000003E-2</v>
      </c>
      <c r="G54" s="10">
        <v>1</v>
      </c>
    </row>
    <row r="55" spans="1:7">
      <c r="A55" s="11" t="str">
        <f t="shared" si="0"/>
        <v>EUR_HE04.3.1</v>
      </c>
      <c r="B55" s="8" t="s">
        <v>103</v>
      </c>
      <c r="D55" s="11" t="s">
        <v>817</v>
      </c>
      <c r="E55" s="11" t="s">
        <v>820</v>
      </c>
      <c r="F55" s="11">
        <v>1.1000000000000001E-2</v>
      </c>
      <c r="G55" s="10">
        <v>1</v>
      </c>
    </row>
    <row r="56" spans="1:7">
      <c r="A56" s="11" t="str">
        <f t="shared" si="0"/>
        <v>EUR_HE04.3.1</v>
      </c>
      <c r="B56" s="8" t="s">
        <v>103</v>
      </c>
      <c r="D56" s="11" t="s">
        <v>817</v>
      </c>
      <c r="E56" s="11" t="s">
        <v>821</v>
      </c>
      <c r="F56" s="11">
        <v>0.09</v>
      </c>
      <c r="G56" s="10">
        <v>1.1282660332541567E-2</v>
      </c>
    </row>
    <row r="57" spans="1:7">
      <c r="A57" s="11" t="str">
        <f t="shared" si="0"/>
        <v>EUR_HE04.3.2</v>
      </c>
      <c r="B57" s="8" t="s">
        <v>104</v>
      </c>
      <c r="D57" s="11" t="s">
        <v>822</v>
      </c>
      <c r="E57" s="11">
        <v>43</v>
      </c>
      <c r="F57" s="11">
        <v>1</v>
      </c>
      <c r="G57" s="10">
        <v>1</v>
      </c>
    </row>
    <row r="58" spans="1:7">
      <c r="A58" s="11" t="str">
        <f t="shared" si="0"/>
        <v>EUR_HE04.4.1</v>
      </c>
      <c r="B58" s="8" t="s">
        <v>105</v>
      </c>
      <c r="D58" s="11" t="s">
        <v>823</v>
      </c>
      <c r="E58" s="11">
        <v>36</v>
      </c>
      <c r="F58" s="11">
        <v>1</v>
      </c>
      <c r="G58" s="10">
        <v>1</v>
      </c>
    </row>
    <row r="59" spans="1:7">
      <c r="A59" s="11" t="str">
        <f t="shared" si="0"/>
        <v>EUR_HE04.4.2</v>
      </c>
      <c r="B59" s="8" t="s">
        <v>106</v>
      </c>
      <c r="D59" s="11" t="s">
        <v>824</v>
      </c>
      <c r="E59" s="11">
        <v>38</v>
      </c>
      <c r="F59" s="11">
        <v>1</v>
      </c>
      <c r="G59" s="10">
        <v>1</v>
      </c>
    </row>
    <row r="60" spans="1:7">
      <c r="A60" s="11" t="str">
        <f t="shared" si="0"/>
        <v>EUR_HE04.4.3</v>
      </c>
      <c r="B60" s="8" t="s">
        <v>107</v>
      </c>
      <c r="D60" s="11" t="s">
        <v>825</v>
      </c>
      <c r="E60" s="11">
        <v>37</v>
      </c>
      <c r="F60" s="11">
        <v>1</v>
      </c>
      <c r="G60" s="10">
        <v>1</v>
      </c>
    </row>
    <row r="61" spans="1:7">
      <c r="A61" s="11" t="str">
        <f t="shared" si="0"/>
        <v>EUR_HE04.4.4</v>
      </c>
      <c r="B61" s="8" t="s">
        <v>108</v>
      </c>
      <c r="D61" s="11" t="s">
        <v>826</v>
      </c>
      <c r="E61" s="11">
        <v>38</v>
      </c>
      <c r="F61" s="11">
        <v>0</v>
      </c>
      <c r="G61" s="10">
        <v>0</v>
      </c>
    </row>
    <row r="62" spans="1:7">
      <c r="A62" s="11" t="str">
        <f t="shared" si="0"/>
        <v>EUR_HE04.4.4</v>
      </c>
      <c r="B62" s="8" t="s">
        <v>108</v>
      </c>
      <c r="D62" s="11" t="s">
        <v>826</v>
      </c>
      <c r="E62" s="11">
        <v>68.3</v>
      </c>
      <c r="F62" s="11">
        <v>0</v>
      </c>
      <c r="G62" s="10">
        <v>0</v>
      </c>
    </row>
    <row r="63" spans="1:7">
      <c r="A63" s="11" t="str">
        <f t="shared" si="0"/>
        <v>EUR_HE04.5.1</v>
      </c>
      <c r="B63" s="8" t="s">
        <v>109</v>
      </c>
      <c r="D63" s="11" t="s">
        <v>827</v>
      </c>
      <c r="E63" s="11">
        <v>35.1</v>
      </c>
      <c r="F63" s="11">
        <v>1</v>
      </c>
      <c r="G63" s="10">
        <v>1</v>
      </c>
    </row>
    <row r="64" spans="1:7">
      <c r="A64" s="11" t="str">
        <f t="shared" si="0"/>
        <v>EUR_HE04.5.2</v>
      </c>
      <c r="B64" s="8" t="s">
        <v>110</v>
      </c>
      <c r="D64" s="11" t="s">
        <v>828</v>
      </c>
      <c r="E64" s="11">
        <v>19</v>
      </c>
      <c r="F64" s="11">
        <v>1.1000000000000001E-2</v>
      </c>
      <c r="G64" s="10">
        <v>5.5857752822132539E-3</v>
      </c>
    </row>
    <row r="65" spans="1:7">
      <c r="A65" s="11" t="str">
        <f t="shared" si="0"/>
        <v>EUR_HE04.5.2</v>
      </c>
      <c r="B65" s="8" t="s">
        <v>110</v>
      </c>
      <c r="D65" s="11" t="s">
        <v>828</v>
      </c>
      <c r="E65" s="11" t="s">
        <v>829</v>
      </c>
      <c r="F65" s="11">
        <v>0.9890000000000001</v>
      </c>
      <c r="G65" s="10">
        <v>1</v>
      </c>
    </row>
    <row r="66" spans="1:7">
      <c r="A66" s="11" t="str">
        <f t="shared" si="0"/>
        <v>EUR_HE04.5.3</v>
      </c>
      <c r="B66" s="8" t="s">
        <v>111</v>
      </c>
      <c r="D66" s="11" t="s">
        <v>830</v>
      </c>
      <c r="E66" s="11">
        <v>19</v>
      </c>
      <c r="F66" s="11">
        <v>1</v>
      </c>
      <c r="G66" s="10">
        <v>4.5943732818623149E-2</v>
      </c>
    </row>
    <row r="67" spans="1:7">
      <c r="A67" s="11" t="str">
        <f t="shared" si="0"/>
        <v>EUR_HE04.5.4</v>
      </c>
      <c r="B67" s="8" t="s">
        <v>112</v>
      </c>
      <c r="D67" s="11" t="s">
        <v>831</v>
      </c>
      <c r="E67" s="11">
        <v>2</v>
      </c>
      <c r="F67" s="11">
        <v>6.8000000000000005E-2</v>
      </c>
      <c r="G67" s="10">
        <v>0.12048192771084337</v>
      </c>
    </row>
    <row r="68" spans="1:7">
      <c r="A68" s="11" t="str">
        <f t="shared" si="0"/>
        <v>EUR_HE04.5.4</v>
      </c>
      <c r="B68" s="8" t="s">
        <v>112</v>
      </c>
      <c r="D68" s="11" t="s">
        <v>831</v>
      </c>
      <c r="E68" s="11">
        <v>5</v>
      </c>
      <c r="F68" s="11">
        <v>0.93200000000000005</v>
      </c>
      <c r="G68" s="10">
        <v>1</v>
      </c>
    </row>
    <row r="69" spans="1:7">
      <c r="A69" s="11" t="str">
        <f t="shared" si="0"/>
        <v>EUR_HE04.5.5</v>
      </c>
      <c r="B69" s="8" t="s">
        <v>113</v>
      </c>
      <c r="D69" s="11" t="s">
        <v>832</v>
      </c>
      <c r="E69" s="11" t="s">
        <v>829</v>
      </c>
      <c r="F69" s="11">
        <v>1</v>
      </c>
      <c r="G69" s="10">
        <v>0</v>
      </c>
    </row>
    <row r="70" spans="1:7">
      <c r="A70" s="11" t="str">
        <f t="shared" ref="A70:A133" si="1">+"EUR_HE"&amp;D70</f>
        <v>EUR_HE05.1.1</v>
      </c>
      <c r="B70" s="8" t="s">
        <v>114</v>
      </c>
      <c r="D70" s="11" t="s">
        <v>833</v>
      </c>
      <c r="E70" s="11">
        <v>13</v>
      </c>
      <c r="F70" s="11">
        <v>0.02</v>
      </c>
      <c r="G70" s="10">
        <v>1.7737896494156927E-2</v>
      </c>
    </row>
    <row r="71" spans="1:7">
      <c r="A71" s="11" t="str">
        <f t="shared" si="1"/>
        <v>EUR_HE05.1.1</v>
      </c>
      <c r="B71" s="8" t="s">
        <v>114</v>
      </c>
      <c r="D71" s="11" t="s">
        <v>833</v>
      </c>
      <c r="E71" s="11">
        <v>31</v>
      </c>
      <c r="F71" s="11">
        <v>0.84</v>
      </c>
      <c r="G71" s="10">
        <v>0.9645224870094965</v>
      </c>
    </row>
    <row r="72" spans="1:7">
      <c r="A72" s="11" t="str">
        <f t="shared" si="1"/>
        <v>EUR_HE05.1.1</v>
      </c>
      <c r="B72" s="8" t="s">
        <v>114</v>
      </c>
      <c r="D72" s="11" t="s">
        <v>833</v>
      </c>
      <c r="E72" s="11">
        <v>32</v>
      </c>
      <c r="F72" s="11">
        <v>0.14000000000000001</v>
      </c>
      <c r="G72" s="10">
        <v>6.9330653887772459E-2</v>
      </c>
    </row>
    <row r="73" spans="1:7">
      <c r="A73" s="11" t="str">
        <f t="shared" si="1"/>
        <v>EUR_HE05.1.2</v>
      </c>
      <c r="B73" s="8" t="s">
        <v>115</v>
      </c>
      <c r="D73" s="11" t="s">
        <v>834</v>
      </c>
      <c r="E73" s="11">
        <v>13</v>
      </c>
      <c r="F73" s="11">
        <v>1</v>
      </c>
      <c r="G73" s="10">
        <v>0.3550361713967724</v>
      </c>
    </row>
    <row r="74" spans="1:7">
      <c r="A74" s="11" t="str">
        <f t="shared" si="1"/>
        <v>EUR_HE05.1.3</v>
      </c>
      <c r="B74" s="8" t="s">
        <v>116</v>
      </c>
      <c r="D74" s="11" t="s">
        <v>835</v>
      </c>
      <c r="E74" s="11">
        <v>95</v>
      </c>
      <c r="F74" s="11">
        <v>1</v>
      </c>
      <c r="G74" s="10">
        <v>2.85451197053407E-2</v>
      </c>
    </row>
    <row r="75" spans="1:7">
      <c r="A75" s="11" t="str">
        <f t="shared" si="1"/>
        <v>EUR_HE5.2</v>
      </c>
      <c r="B75" s="8" t="s">
        <v>836</v>
      </c>
      <c r="D75" s="11">
        <v>5.2</v>
      </c>
      <c r="E75" s="11">
        <v>13</v>
      </c>
      <c r="F75" s="11">
        <v>1</v>
      </c>
      <c r="G75" s="10">
        <v>0.38126043405676124</v>
      </c>
    </row>
    <row r="76" spans="1:7">
      <c r="A76" s="11" t="str">
        <f t="shared" si="1"/>
        <v>EUR_HE05.3.1</v>
      </c>
      <c r="B76" s="8" t="s">
        <v>118</v>
      </c>
      <c r="D76" s="11" t="s">
        <v>837</v>
      </c>
      <c r="E76" s="11">
        <v>27</v>
      </c>
      <c r="F76" s="11">
        <v>0.97</v>
      </c>
      <c r="G76" s="10">
        <v>0.49381680989310417</v>
      </c>
    </row>
    <row r="77" spans="1:7">
      <c r="A77" s="11" t="str">
        <f t="shared" si="1"/>
        <v>EUR_HE05.3.1</v>
      </c>
      <c r="B77" s="8" t="s">
        <v>118</v>
      </c>
      <c r="D77" s="11" t="s">
        <v>837</v>
      </c>
      <c r="E77" s="11">
        <v>28</v>
      </c>
      <c r="F77" s="11">
        <v>0.03</v>
      </c>
      <c r="G77" s="10">
        <v>5.805168986083499E-2</v>
      </c>
    </row>
    <row r="78" spans="1:7">
      <c r="A78" s="11" t="str">
        <f t="shared" si="1"/>
        <v>EUR_HE05.3.2</v>
      </c>
      <c r="B78" s="8" t="s">
        <v>119</v>
      </c>
      <c r="D78" s="11" t="s">
        <v>838</v>
      </c>
      <c r="E78" s="11">
        <v>27</v>
      </c>
      <c r="F78" s="11">
        <v>1</v>
      </c>
      <c r="G78" s="10">
        <v>8.604066233494026E-2</v>
      </c>
    </row>
    <row r="79" spans="1:7">
      <c r="A79" s="11" t="str">
        <f t="shared" si="1"/>
        <v>EUR_HE05.3.3</v>
      </c>
      <c r="B79" s="8" t="s">
        <v>120</v>
      </c>
      <c r="D79" s="11" t="s">
        <v>839</v>
      </c>
      <c r="E79" s="11">
        <v>95</v>
      </c>
      <c r="F79" s="11">
        <v>1</v>
      </c>
      <c r="G79" s="10">
        <v>0.43922651933701656</v>
      </c>
    </row>
    <row r="80" spans="1:7">
      <c r="A80" s="11" t="str">
        <f t="shared" si="1"/>
        <v>EUR_HE5.4</v>
      </c>
      <c r="B80" s="8" t="s">
        <v>840</v>
      </c>
      <c r="D80" s="11">
        <v>5.4</v>
      </c>
      <c r="E80" s="11">
        <v>22</v>
      </c>
      <c r="F80" s="11">
        <v>0.08</v>
      </c>
      <c r="G80" s="10">
        <v>0.11606391925988226</v>
      </c>
    </row>
    <row r="81" spans="1:7">
      <c r="A81" s="11" t="str">
        <f t="shared" si="1"/>
        <v>EUR_HE5.4</v>
      </c>
      <c r="B81" s="8" t="s">
        <v>840</v>
      </c>
      <c r="D81" s="11">
        <v>5.4</v>
      </c>
      <c r="E81" s="11" t="s">
        <v>818</v>
      </c>
      <c r="F81" s="11">
        <v>0.59</v>
      </c>
      <c r="G81" s="10">
        <v>0.93089802130898025</v>
      </c>
    </row>
    <row r="82" spans="1:7">
      <c r="A82" s="11" t="str">
        <f t="shared" si="1"/>
        <v>EUR_HE5.4</v>
      </c>
      <c r="B82" s="8" t="s">
        <v>840</v>
      </c>
      <c r="D82" s="11">
        <v>5.4</v>
      </c>
      <c r="E82" s="11" t="s">
        <v>821</v>
      </c>
      <c r="F82" s="11">
        <v>0.33</v>
      </c>
      <c r="G82" s="10">
        <v>0.33867775138558986</v>
      </c>
    </row>
    <row r="83" spans="1:7">
      <c r="A83" s="11" t="str">
        <f t="shared" si="1"/>
        <v>EUR_HE05.5.1</v>
      </c>
      <c r="B83" s="8" t="s">
        <v>122</v>
      </c>
      <c r="D83" s="11" t="s">
        <v>841</v>
      </c>
      <c r="E83" s="11">
        <v>28</v>
      </c>
      <c r="F83" s="11">
        <v>1</v>
      </c>
      <c r="G83" s="10">
        <v>0.15705765407554673</v>
      </c>
    </row>
    <row r="84" spans="1:7">
      <c r="A84" s="11" t="str">
        <f t="shared" si="1"/>
        <v>EUR_HE05.5.2</v>
      </c>
      <c r="B84" s="8" t="s">
        <v>123</v>
      </c>
      <c r="D84" s="11" t="s">
        <v>842</v>
      </c>
      <c r="E84" s="11">
        <v>22</v>
      </c>
      <c r="F84" s="11">
        <v>0.21600000000000003</v>
      </c>
      <c r="G84" s="10">
        <v>0.23605270535463976</v>
      </c>
    </row>
    <row r="85" spans="1:7">
      <c r="A85" s="11" t="str">
        <f t="shared" si="1"/>
        <v>EUR_HE05.5.2</v>
      </c>
      <c r="B85" s="8" t="s">
        <v>123</v>
      </c>
      <c r="D85" s="11" t="s">
        <v>842</v>
      </c>
      <c r="E85" s="11" t="s">
        <v>821</v>
      </c>
      <c r="F85" s="11">
        <v>0.5</v>
      </c>
      <c r="G85" s="10">
        <v>0.385193982581156</v>
      </c>
    </row>
    <row r="86" spans="1:7">
      <c r="A86" s="11" t="str">
        <f t="shared" si="1"/>
        <v>EUR_HE05.5.2</v>
      </c>
      <c r="B86" s="8" t="s">
        <v>123</v>
      </c>
      <c r="D86" s="11" t="s">
        <v>842</v>
      </c>
      <c r="E86" s="11">
        <v>27</v>
      </c>
      <c r="F86" s="11">
        <v>0.28399999999999997</v>
      </c>
      <c r="G86" s="10">
        <v>0.11601341437853699</v>
      </c>
    </row>
    <row r="87" spans="1:7">
      <c r="A87" s="11" t="str">
        <f t="shared" si="1"/>
        <v>EUR_HE05.6.1</v>
      </c>
      <c r="B87" s="8" t="s">
        <v>124</v>
      </c>
      <c r="D87" s="11" t="s">
        <v>843</v>
      </c>
      <c r="E87" s="11">
        <v>13</v>
      </c>
      <c r="F87" s="11">
        <v>0.01</v>
      </c>
      <c r="G87" s="10">
        <v>2.8519755147468004E-3</v>
      </c>
    </row>
    <row r="88" spans="1:7">
      <c r="A88" s="11" t="str">
        <f t="shared" si="1"/>
        <v>EUR_HE05.6.1</v>
      </c>
      <c r="B88" s="8" t="s">
        <v>124</v>
      </c>
      <c r="D88" s="11" t="s">
        <v>843</v>
      </c>
      <c r="E88" s="11">
        <v>15</v>
      </c>
      <c r="F88" s="11">
        <v>1.1000000000000001E-2</v>
      </c>
      <c r="G88" s="10">
        <v>4.2004773269689738E-3</v>
      </c>
    </row>
    <row r="89" spans="1:7">
      <c r="A89" s="11" t="str">
        <f t="shared" si="1"/>
        <v>EUR_HE05.6.1</v>
      </c>
      <c r="B89" s="8" t="s">
        <v>124</v>
      </c>
      <c r="D89" s="11" t="s">
        <v>843</v>
      </c>
      <c r="E89" s="11">
        <v>17</v>
      </c>
      <c r="F89" s="11">
        <v>0.01</v>
      </c>
      <c r="G89" s="10">
        <v>9.8628818859754636E-3</v>
      </c>
    </row>
    <row r="90" spans="1:7">
      <c r="A90" s="11" t="str">
        <f t="shared" si="1"/>
        <v>EUR_HE05.6.1</v>
      </c>
      <c r="B90" s="8" t="s">
        <v>124</v>
      </c>
      <c r="D90" s="11" t="s">
        <v>843</v>
      </c>
      <c r="E90" s="11">
        <v>20.399999999999999</v>
      </c>
      <c r="F90" s="11">
        <v>0.9</v>
      </c>
      <c r="G90" s="10">
        <v>0.21350936095145961</v>
      </c>
    </row>
    <row r="91" spans="1:7">
      <c r="A91" s="11" t="str">
        <f t="shared" si="1"/>
        <v>EUR_HE05.6.1</v>
      </c>
      <c r="B91" s="8" t="s">
        <v>124</v>
      </c>
      <c r="D91" s="11" t="s">
        <v>843</v>
      </c>
      <c r="E91" s="11">
        <v>22</v>
      </c>
      <c r="F91" s="11">
        <v>0.05</v>
      </c>
      <c r="G91" s="10">
        <v>5.8312307261003643E-2</v>
      </c>
    </row>
    <row r="92" spans="1:7">
      <c r="A92" s="11" t="str">
        <f t="shared" si="1"/>
        <v>EUR_HE05.6.1</v>
      </c>
      <c r="B92" s="8" t="s">
        <v>124</v>
      </c>
      <c r="D92" s="11" t="s">
        <v>843</v>
      </c>
      <c r="E92" s="11" t="s">
        <v>821</v>
      </c>
      <c r="F92" s="11">
        <v>0.01</v>
      </c>
      <c r="G92" s="10">
        <v>8.1155977830562158E-3</v>
      </c>
    </row>
    <row r="93" spans="1:7">
      <c r="A93" s="11" t="str">
        <f t="shared" si="1"/>
        <v>EUR_HE05.6.1</v>
      </c>
      <c r="B93" s="8" t="s">
        <v>124</v>
      </c>
      <c r="D93" s="11" t="s">
        <v>843</v>
      </c>
      <c r="E93" s="11">
        <v>32</v>
      </c>
      <c r="F93" s="11">
        <v>0.01</v>
      </c>
      <c r="G93" s="10">
        <v>1.5844798268665945E-3</v>
      </c>
    </row>
    <row r="94" spans="1:7">
      <c r="A94" s="11" t="str">
        <f t="shared" si="1"/>
        <v>EUR_HE05.6.2</v>
      </c>
      <c r="B94" s="8" t="s">
        <v>125</v>
      </c>
      <c r="D94" s="11" t="s">
        <v>844</v>
      </c>
      <c r="E94" s="11">
        <v>77</v>
      </c>
      <c r="F94" s="11">
        <v>5.0000000000000001E-3</v>
      </c>
      <c r="G94" s="10">
        <v>2.9333705824835872E-3</v>
      </c>
    </row>
    <row r="95" spans="1:7">
      <c r="A95" s="11" t="str">
        <f t="shared" si="1"/>
        <v>EUR_HE05.6.2</v>
      </c>
      <c r="B95" s="8" t="s">
        <v>125</v>
      </c>
      <c r="D95" s="11" t="s">
        <v>844</v>
      </c>
      <c r="E95" s="11">
        <v>81</v>
      </c>
      <c r="F95" s="11">
        <v>6.0000000000000001E-3</v>
      </c>
      <c r="G95" s="10">
        <v>1</v>
      </c>
    </row>
    <row r="96" spans="1:7">
      <c r="A96" s="11" t="str">
        <f t="shared" si="1"/>
        <v>EUR_HE05.6.2</v>
      </c>
      <c r="B96" s="8" t="s">
        <v>125</v>
      </c>
      <c r="D96" s="11" t="s">
        <v>844</v>
      </c>
      <c r="E96" s="11">
        <v>82</v>
      </c>
      <c r="F96" s="11">
        <v>0.01</v>
      </c>
      <c r="G96" s="10">
        <v>0.17333333333333334</v>
      </c>
    </row>
    <row r="97" spans="1:7">
      <c r="A97" s="11" t="str">
        <f t="shared" si="1"/>
        <v>EUR_HE05.6.2</v>
      </c>
      <c r="B97" s="8" t="s">
        <v>125</v>
      </c>
      <c r="D97" s="11" t="s">
        <v>844</v>
      </c>
      <c r="E97" s="11">
        <v>96</v>
      </c>
      <c r="F97" s="11">
        <v>6.0000000000000001E-3</v>
      </c>
      <c r="G97" s="10">
        <v>1.3722126929674098E-3</v>
      </c>
    </row>
    <row r="98" spans="1:7">
      <c r="A98" s="11" t="str">
        <f t="shared" si="1"/>
        <v>EUR_HE05.6.2</v>
      </c>
      <c r="B98" s="8" t="s">
        <v>125</v>
      </c>
      <c r="D98" s="11" t="s">
        <v>844</v>
      </c>
      <c r="E98" s="11">
        <v>97</v>
      </c>
      <c r="F98" s="11">
        <v>0.97299999999999998</v>
      </c>
      <c r="G98" s="10">
        <v>1</v>
      </c>
    </row>
    <row r="99" spans="1:7">
      <c r="A99" s="11" t="str">
        <f t="shared" si="1"/>
        <v>EUR_HE06.1.1</v>
      </c>
      <c r="B99" s="8" t="s">
        <v>126</v>
      </c>
      <c r="D99" s="11" t="s">
        <v>845</v>
      </c>
      <c r="E99" s="11">
        <v>21</v>
      </c>
      <c r="F99" s="11">
        <v>0.95400000000000007</v>
      </c>
      <c r="G99" s="10">
        <v>0.42409658899020602</v>
      </c>
    </row>
    <row r="100" spans="1:7">
      <c r="A100" s="11" t="str">
        <f t="shared" si="1"/>
        <v>EUR_HE06.1.1</v>
      </c>
      <c r="B100" s="8" t="s">
        <v>126</v>
      </c>
      <c r="D100" s="11" t="s">
        <v>845</v>
      </c>
      <c r="E100" s="11">
        <v>84</v>
      </c>
      <c r="F100" s="11">
        <v>4.5999999999999999E-2</v>
      </c>
      <c r="G100" s="10">
        <v>9.1557223264540341E-2</v>
      </c>
    </row>
    <row r="101" spans="1:7">
      <c r="A101" s="11" t="str">
        <f t="shared" si="1"/>
        <v>EUR_HE06.1.2</v>
      </c>
      <c r="B101" s="8" t="s">
        <v>127</v>
      </c>
      <c r="D101" s="11" t="s">
        <v>846</v>
      </c>
      <c r="E101" s="11">
        <v>22</v>
      </c>
      <c r="F101" s="11">
        <v>0.60799999999999998</v>
      </c>
      <c r="G101" s="10">
        <v>9.6159237454443505E-2</v>
      </c>
    </row>
    <row r="102" spans="1:7">
      <c r="A102" s="11" t="str">
        <f t="shared" si="1"/>
        <v>EUR_HE06.1.2</v>
      </c>
      <c r="B102" s="8" t="s">
        <v>127</v>
      </c>
      <c r="D102" s="11" t="s">
        <v>846</v>
      </c>
      <c r="E102" s="11">
        <v>32</v>
      </c>
      <c r="F102" s="11">
        <v>0.39200000000000002</v>
      </c>
      <c r="G102" s="10">
        <v>8.5407327253053025E-3</v>
      </c>
    </row>
    <row r="103" spans="1:7">
      <c r="A103" s="11" t="str">
        <f t="shared" si="1"/>
        <v>EUR_HE06.1.3</v>
      </c>
      <c r="B103" s="8" t="s">
        <v>128</v>
      </c>
      <c r="D103" s="11" t="s">
        <v>847</v>
      </c>
      <c r="E103" s="11">
        <v>26</v>
      </c>
      <c r="F103" s="11">
        <v>0.29899999999999999</v>
      </c>
      <c r="G103" s="10">
        <v>5.6417081356324499E-2</v>
      </c>
    </row>
    <row r="104" spans="1:7">
      <c r="A104" s="11" t="str">
        <f t="shared" si="1"/>
        <v>EUR_HE06.1.3</v>
      </c>
      <c r="B104" s="8" t="s">
        <v>128</v>
      </c>
      <c r="D104" s="11" t="s">
        <v>847</v>
      </c>
      <c r="E104" s="11" t="s">
        <v>848</v>
      </c>
      <c r="F104" s="11">
        <v>0.10300000000000001</v>
      </c>
      <c r="G104" s="10">
        <v>8.245656961096158E-2</v>
      </c>
    </row>
    <row r="105" spans="1:7">
      <c r="A105" s="11" t="str">
        <f t="shared" si="1"/>
        <v>EUR_HE06.1.3</v>
      </c>
      <c r="B105" s="8" t="s">
        <v>128</v>
      </c>
      <c r="D105" s="11" t="s">
        <v>847</v>
      </c>
      <c r="E105" s="11">
        <v>32</v>
      </c>
      <c r="F105" s="11">
        <v>0.59799999999999998</v>
      </c>
      <c r="G105" s="10">
        <v>7.5282114700881128E-2</v>
      </c>
    </row>
    <row r="106" spans="1:7">
      <c r="A106" s="11" t="str">
        <f t="shared" si="1"/>
        <v>EUR_HE06.2.1</v>
      </c>
      <c r="B106" s="8" t="s">
        <v>129</v>
      </c>
      <c r="D106" s="11" t="s">
        <v>849</v>
      </c>
      <c r="E106" s="11">
        <v>86</v>
      </c>
      <c r="F106" s="11">
        <v>1</v>
      </c>
      <c r="G106" s="10">
        <v>0.10887364461163974</v>
      </c>
    </row>
    <row r="107" spans="1:7">
      <c r="A107" s="11" t="str">
        <f t="shared" si="1"/>
        <v>EUR_HE06.2.2</v>
      </c>
      <c r="B107" s="8" t="s">
        <v>130</v>
      </c>
      <c r="D107" s="11" t="s">
        <v>850</v>
      </c>
      <c r="E107" s="11">
        <v>86</v>
      </c>
      <c r="F107" s="11">
        <v>1</v>
      </c>
      <c r="G107" s="10">
        <v>0.22427528214206682</v>
      </c>
    </row>
    <row r="108" spans="1:7">
      <c r="A108" s="11" t="str">
        <f t="shared" si="1"/>
        <v>EUR_HE06.2.3</v>
      </c>
      <c r="B108" s="8" t="s">
        <v>131</v>
      </c>
      <c r="D108" s="11" t="s">
        <v>851</v>
      </c>
      <c r="E108" s="11">
        <v>86</v>
      </c>
      <c r="F108" s="11">
        <v>1</v>
      </c>
      <c r="G108" s="10">
        <v>6.561186103120159E-2</v>
      </c>
    </row>
    <row r="109" spans="1:7">
      <c r="A109" s="11" t="str">
        <f t="shared" si="1"/>
        <v>EUR_HE6.3</v>
      </c>
      <c r="B109" s="8" t="s">
        <v>852</v>
      </c>
      <c r="D109" s="11">
        <v>6.3</v>
      </c>
      <c r="E109" s="11">
        <v>86</v>
      </c>
      <c r="F109" s="11">
        <v>1</v>
      </c>
      <c r="G109" s="10">
        <v>0.33746404071697278</v>
      </c>
    </row>
    <row r="110" spans="1:7">
      <c r="A110" s="11" t="str">
        <f t="shared" si="1"/>
        <v>EUR_HE07.1.1</v>
      </c>
      <c r="B110" s="8" t="s">
        <v>132</v>
      </c>
      <c r="D110" s="11" t="s">
        <v>853</v>
      </c>
      <c r="E110" s="11">
        <v>29</v>
      </c>
      <c r="F110" s="11">
        <v>0.90400000000000003</v>
      </c>
      <c r="G110" s="10">
        <v>0.82022957590893808</v>
      </c>
    </row>
    <row r="111" spans="1:7">
      <c r="A111" s="11" t="str">
        <f t="shared" si="1"/>
        <v>EUR_HE07.1.1</v>
      </c>
      <c r="B111" s="8" t="s">
        <v>132</v>
      </c>
      <c r="D111" s="11" t="s">
        <v>853</v>
      </c>
      <c r="E111" s="11">
        <v>77</v>
      </c>
      <c r="F111" s="11">
        <v>9.6000000000000002E-2</v>
      </c>
      <c r="G111" s="10">
        <v>0.50747311076966062</v>
      </c>
    </row>
    <row r="112" spans="1:7">
      <c r="A112" s="11" t="str">
        <f t="shared" si="1"/>
        <v>EUR_HE07.1.2</v>
      </c>
      <c r="B112" s="8" t="s">
        <v>133</v>
      </c>
      <c r="D112" s="11" t="s">
        <v>854</v>
      </c>
      <c r="E112" s="11" t="s">
        <v>848</v>
      </c>
      <c r="F112" s="11">
        <v>1</v>
      </c>
      <c r="G112" s="10">
        <v>0.14289209689258625</v>
      </c>
    </row>
    <row r="113" spans="1:7">
      <c r="A113" s="11" t="str">
        <f t="shared" si="1"/>
        <v>EUR_HE07.1.3</v>
      </c>
      <c r="B113" s="8" t="s">
        <v>134</v>
      </c>
      <c r="D113" s="11" t="s">
        <v>855</v>
      </c>
      <c r="E113" s="11" t="s">
        <v>848</v>
      </c>
      <c r="F113" s="11">
        <v>1</v>
      </c>
      <c r="G113" s="10">
        <v>0.38096403229752873</v>
      </c>
    </row>
    <row r="114" spans="1:7">
      <c r="A114" s="11" t="str">
        <f t="shared" si="1"/>
        <v>EUR_HE07.2.1</v>
      </c>
      <c r="B114" s="8" t="s">
        <v>136</v>
      </c>
      <c r="D114" s="11" t="s">
        <v>856</v>
      </c>
      <c r="E114" s="11">
        <v>20.3</v>
      </c>
      <c r="F114" s="11">
        <v>1E-3</v>
      </c>
      <c r="G114" s="10">
        <v>3.7974683544303799E-2</v>
      </c>
    </row>
    <row r="115" spans="1:7">
      <c r="A115" s="11" t="str">
        <f t="shared" si="1"/>
        <v>EUR_HE07.2.1</v>
      </c>
      <c r="B115" s="8" t="s">
        <v>136</v>
      </c>
      <c r="D115" s="11" t="s">
        <v>856</v>
      </c>
      <c r="E115" s="11">
        <v>22</v>
      </c>
      <c r="F115" s="11">
        <v>0.25</v>
      </c>
      <c r="G115" s="10">
        <v>0.33501541911970845</v>
      </c>
    </row>
    <row r="116" spans="1:7">
      <c r="A116" s="11" t="str">
        <f t="shared" si="1"/>
        <v>EUR_HE07.2.1</v>
      </c>
      <c r="B116" s="8" t="s">
        <v>136</v>
      </c>
      <c r="D116" s="11" t="s">
        <v>856</v>
      </c>
      <c r="E116" s="11">
        <v>29</v>
      </c>
      <c r="F116" s="11">
        <v>0.74900000000000011</v>
      </c>
      <c r="G116" s="10">
        <v>8.5874837904039186E-2</v>
      </c>
    </row>
    <row r="117" spans="1:7">
      <c r="A117" s="11" t="str">
        <f t="shared" si="1"/>
        <v>EUR_HE07.2.2</v>
      </c>
      <c r="B117" s="8" t="s">
        <v>137</v>
      </c>
      <c r="D117" s="11" t="s">
        <v>857</v>
      </c>
      <c r="E117" s="11">
        <v>19</v>
      </c>
      <c r="F117" s="11">
        <v>0.996</v>
      </c>
      <c r="G117" s="10">
        <v>0.94847049189916355</v>
      </c>
    </row>
    <row r="118" spans="1:7">
      <c r="A118" s="11" t="str">
        <f t="shared" si="1"/>
        <v>EUR_HE07.2.2</v>
      </c>
      <c r="B118" s="8" t="s">
        <v>137</v>
      </c>
      <c r="D118" s="11" t="s">
        <v>857</v>
      </c>
      <c r="E118" s="11">
        <v>20.5</v>
      </c>
      <c r="F118" s="11">
        <v>4.0000000000000001E-3</v>
      </c>
      <c r="G118" s="10">
        <v>9.9332839140103782E-2</v>
      </c>
    </row>
    <row r="119" spans="1:7">
      <c r="A119" s="11" t="str">
        <f t="shared" si="1"/>
        <v>EUR_HE07.2.3</v>
      </c>
      <c r="B119" s="8" t="s">
        <v>138</v>
      </c>
      <c r="D119" s="11" t="s">
        <v>858</v>
      </c>
      <c r="E119" s="11">
        <v>45</v>
      </c>
      <c r="F119" s="11">
        <v>0.97</v>
      </c>
      <c r="G119" s="10">
        <v>1</v>
      </c>
    </row>
    <row r="120" spans="1:7">
      <c r="A120" s="11" t="str">
        <f t="shared" si="1"/>
        <v>EUR_HE07.2.3</v>
      </c>
      <c r="B120" s="8" t="s">
        <v>138</v>
      </c>
      <c r="D120" s="11" t="s">
        <v>858</v>
      </c>
      <c r="E120" s="11">
        <v>94</v>
      </c>
      <c r="F120" s="11">
        <v>0.03</v>
      </c>
      <c r="G120" s="10">
        <v>0.44093851132686085</v>
      </c>
    </row>
    <row r="121" spans="1:7">
      <c r="A121" s="11" t="str">
        <f t="shared" si="1"/>
        <v>EUR_HE07.2.4</v>
      </c>
      <c r="B121" s="8" t="s">
        <v>139</v>
      </c>
      <c r="D121" s="11" t="s">
        <v>859</v>
      </c>
      <c r="E121" s="11">
        <v>52</v>
      </c>
      <c r="F121" s="11">
        <v>0.17399999999999999</v>
      </c>
      <c r="G121" s="10">
        <v>0.86522911051212936</v>
      </c>
    </row>
    <row r="122" spans="1:7">
      <c r="A122" s="11" t="str">
        <f t="shared" si="1"/>
        <v>EUR_HE07.2.4</v>
      </c>
      <c r="B122" s="8" t="s">
        <v>139</v>
      </c>
      <c r="D122" s="11" t="s">
        <v>859</v>
      </c>
      <c r="E122" s="11" t="s">
        <v>812</v>
      </c>
      <c r="F122" s="11">
        <v>1.2E-2</v>
      </c>
      <c r="G122" s="10">
        <v>1.1272462038326371E-3</v>
      </c>
    </row>
    <row r="123" spans="1:7">
      <c r="A123" s="11" t="str">
        <f t="shared" si="1"/>
        <v>EUR_HE07.2.4</v>
      </c>
      <c r="B123" s="8" t="s">
        <v>139</v>
      </c>
      <c r="D123" s="11" t="s">
        <v>859</v>
      </c>
      <c r="E123" s="11">
        <v>71</v>
      </c>
      <c r="F123" s="11">
        <v>7.0000000000000007E-2</v>
      </c>
      <c r="G123" s="10">
        <v>0.89220183486238536</v>
      </c>
    </row>
    <row r="124" spans="1:7">
      <c r="A124" s="11" t="str">
        <f t="shared" si="1"/>
        <v>EUR_HE07.2.4</v>
      </c>
      <c r="B124" s="8" t="s">
        <v>139</v>
      </c>
      <c r="D124" s="11" t="s">
        <v>859</v>
      </c>
      <c r="E124" s="11">
        <v>77</v>
      </c>
      <c r="F124" s="11">
        <v>0.52500000000000002</v>
      </c>
      <c r="G124" s="10">
        <v>0.40564324626344461</v>
      </c>
    </row>
    <row r="125" spans="1:7">
      <c r="A125" s="11" t="str">
        <f t="shared" si="1"/>
        <v>EUR_HE07.2.4</v>
      </c>
      <c r="B125" s="8" t="s">
        <v>139</v>
      </c>
      <c r="D125" s="11" t="s">
        <v>859</v>
      </c>
      <c r="E125" s="11">
        <v>84</v>
      </c>
      <c r="F125" s="11">
        <v>0.20100000000000001</v>
      </c>
      <c r="G125" s="10">
        <v>0.41726078799249533</v>
      </c>
    </row>
    <row r="126" spans="1:7">
      <c r="A126" s="11" t="str">
        <f t="shared" si="1"/>
        <v>EUR_HE07.2.4</v>
      </c>
      <c r="B126" s="8" t="s">
        <v>139</v>
      </c>
      <c r="D126" s="11" t="s">
        <v>859</v>
      </c>
      <c r="E126" s="11">
        <v>85</v>
      </c>
      <c r="F126" s="11">
        <v>1.8000000000000002E-2</v>
      </c>
      <c r="G126" s="10">
        <v>6.0094694670389708E-3</v>
      </c>
    </row>
    <row r="127" spans="1:7">
      <c r="A127" s="11" t="str">
        <f t="shared" si="1"/>
        <v>EUR_HE07.3.1</v>
      </c>
      <c r="B127" s="8" t="s">
        <v>140</v>
      </c>
      <c r="D127" s="11" t="s">
        <v>860</v>
      </c>
      <c r="E127" s="11" t="s">
        <v>861</v>
      </c>
      <c r="F127" s="11">
        <v>0.74</v>
      </c>
      <c r="G127" s="10">
        <v>1</v>
      </c>
    </row>
    <row r="128" spans="1:7">
      <c r="A128" s="11" t="str">
        <f t="shared" si="1"/>
        <v>EUR_HE07.3.1</v>
      </c>
      <c r="B128" s="8" t="s">
        <v>140</v>
      </c>
      <c r="D128" s="11" t="s">
        <v>860</v>
      </c>
      <c r="E128" s="11" t="s">
        <v>862</v>
      </c>
      <c r="F128" s="11">
        <v>0.26</v>
      </c>
      <c r="G128" s="10">
        <v>0.2067779115774987</v>
      </c>
    </row>
    <row r="129" spans="1:7">
      <c r="A129" s="11" t="str">
        <f t="shared" si="1"/>
        <v>EUR_HE07.3.2</v>
      </c>
      <c r="B129" s="8" t="s">
        <v>141</v>
      </c>
      <c r="D129" s="11" t="s">
        <v>863</v>
      </c>
      <c r="E129" s="11" t="s">
        <v>862</v>
      </c>
      <c r="F129" s="11">
        <v>1</v>
      </c>
      <c r="G129" s="10">
        <v>0.72183038018234991</v>
      </c>
    </row>
    <row r="130" spans="1:7">
      <c r="A130" s="11" t="str">
        <f t="shared" si="1"/>
        <v>EUR_HE07.3.3</v>
      </c>
      <c r="B130" s="8" t="s">
        <v>142</v>
      </c>
      <c r="D130" s="11" t="s">
        <v>864</v>
      </c>
      <c r="E130" s="11">
        <v>51</v>
      </c>
      <c r="F130" s="11">
        <v>1</v>
      </c>
      <c r="G130" s="10">
        <v>1</v>
      </c>
    </row>
    <row r="131" spans="1:7">
      <c r="A131" s="11" t="str">
        <f t="shared" si="1"/>
        <v>EUR_HE07.3.4</v>
      </c>
      <c r="B131" s="8" t="s">
        <v>143</v>
      </c>
      <c r="D131" s="11" t="s">
        <v>865</v>
      </c>
      <c r="E131" s="11">
        <v>50</v>
      </c>
      <c r="F131" s="11">
        <v>1</v>
      </c>
      <c r="G131" s="10">
        <v>1</v>
      </c>
    </row>
    <row r="132" spans="1:7">
      <c r="A132" s="11" t="str">
        <f t="shared" si="1"/>
        <v>EUR_HE07.3.6</v>
      </c>
      <c r="B132" s="8" t="s">
        <v>145</v>
      </c>
      <c r="D132" s="11" t="s">
        <v>866</v>
      </c>
      <c r="E132" s="11" t="s">
        <v>862</v>
      </c>
      <c r="F132" s="11">
        <v>0.51900000000000002</v>
      </c>
      <c r="G132" s="10">
        <v>7.1391708240151383E-2</v>
      </c>
    </row>
    <row r="133" spans="1:7">
      <c r="A133" s="11" t="str">
        <f t="shared" si="1"/>
        <v>EUR_HE07.3.6</v>
      </c>
      <c r="B133" s="8" t="s">
        <v>145</v>
      </c>
      <c r="D133" s="11" t="s">
        <v>866</v>
      </c>
      <c r="E133" s="11">
        <v>79</v>
      </c>
      <c r="F133" s="11">
        <v>0.48100000000000004</v>
      </c>
      <c r="G133" s="10">
        <v>1</v>
      </c>
    </row>
    <row r="134" spans="1:7">
      <c r="A134" s="11" t="str">
        <f t="shared" ref="A134:A197" si="2">+"EUR_HE"&amp;D134</f>
        <v>EUR_HE8.1</v>
      </c>
      <c r="B134" s="8" t="s">
        <v>867</v>
      </c>
      <c r="D134" s="11">
        <v>8.1</v>
      </c>
      <c r="E134" s="11">
        <v>53</v>
      </c>
      <c r="F134" s="11">
        <v>1</v>
      </c>
      <c r="G134" s="10">
        <v>1</v>
      </c>
    </row>
    <row r="135" spans="1:7">
      <c r="A135" s="11" t="str">
        <f t="shared" si="2"/>
        <v>EUR_HE8.2</v>
      </c>
      <c r="B135" s="8" t="s">
        <v>868</v>
      </c>
      <c r="D135" s="11">
        <v>8.1999999999999993</v>
      </c>
      <c r="E135" s="11">
        <v>26</v>
      </c>
      <c r="F135" s="11">
        <v>1</v>
      </c>
      <c r="G135" s="10">
        <v>4.5596574470547394E-2</v>
      </c>
    </row>
    <row r="136" spans="1:7">
      <c r="A136" s="11" t="str">
        <f t="shared" si="2"/>
        <v>EUR_HE8.3</v>
      </c>
      <c r="B136" s="8" t="s">
        <v>869</v>
      </c>
      <c r="D136" s="11">
        <v>8.3000000000000007</v>
      </c>
      <c r="E136" s="11">
        <v>61</v>
      </c>
      <c r="F136" s="11">
        <v>1</v>
      </c>
      <c r="G136" s="10">
        <v>1</v>
      </c>
    </row>
    <row r="137" spans="1:7">
      <c r="A137" s="11" t="str">
        <f t="shared" si="2"/>
        <v>EUR_HE09.1.1</v>
      </c>
      <c r="B137" s="8" t="s">
        <v>149</v>
      </c>
      <c r="D137" s="11" t="s">
        <v>870</v>
      </c>
      <c r="E137" s="11">
        <v>26</v>
      </c>
      <c r="F137" s="11">
        <v>1</v>
      </c>
      <c r="G137" s="10">
        <v>0.27693553986807085</v>
      </c>
    </row>
    <row r="138" spans="1:7">
      <c r="A138" s="11" t="str">
        <f t="shared" si="2"/>
        <v>EUR_HE09.1.2</v>
      </c>
      <c r="B138" s="8" t="s">
        <v>150</v>
      </c>
      <c r="D138" s="11" t="s">
        <v>871</v>
      </c>
      <c r="E138" s="11">
        <v>26</v>
      </c>
      <c r="F138" s="11">
        <v>1</v>
      </c>
      <c r="G138" s="10">
        <v>0.14211318134475176</v>
      </c>
    </row>
    <row r="139" spans="1:7">
      <c r="A139" s="11" t="str">
        <f t="shared" si="2"/>
        <v>EUR_HE09.1.3</v>
      </c>
      <c r="B139" s="8" t="s">
        <v>151</v>
      </c>
      <c r="D139" s="11" t="s">
        <v>872</v>
      </c>
      <c r="E139" s="11">
        <v>26</v>
      </c>
      <c r="F139" s="11">
        <v>0.77</v>
      </c>
      <c r="G139" s="10">
        <v>0.37686610346024768</v>
      </c>
    </row>
    <row r="140" spans="1:7">
      <c r="A140" s="11" t="str">
        <f t="shared" si="2"/>
        <v>EUR_HE09.1.3</v>
      </c>
      <c r="B140" s="8" t="s">
        <v>151</v>
      </c>
      <c r="D140" s="11" t="s">
        <v>872</v>
      </c>
      <c r="E140" s="11">
        <v>28</v>
      </c>
      <c r="F140" s="11">
        <v>0.23</v>
      </c>
      <c r="G140" s="10">
        <v>0.77375745526838968</v>
      </c>
    </row>
    <row r="141" spans="1:7">
      <c r="A141" s="11" t="str">
        <f t="shared" si="2"/>
        <v>EUR_HE09.1.4</v>
      </c>
      <c r="B141" s="8" t="s">
        <v>152</v>
      </c>
      <c r="D141" s="11" t="s">
        <v>873</v>
      </c>
      <c r="E141" s="11">
        <v>20.5</v>
      </c>
      <c r="F141" s="11">
        <v>0.05</v>
      </c>
      <c r="G141" s="10">
        <v>0.167531504818384</v>
      </c>
    </row>
    <row r="142" spans="1:7">
      <c r="A142" s="11" t="str">
        <f t="shared" si="2"/>
        <v>EUR_HE09.1.4</v>
      </c>
      <c r="B142" s="8" t="s">
        <v>152</v>
      </c>
      <c r="D142" s="11" t="s">
        <v>873</v>
      </c>
      <c r="E142" s="11">
        <v>26</v>
      </c>
      <c r="F142" s="11">
        <v>0.27</v>
      </c>
      <c r="G142" s="10">
        <v>7.0420090267330177E-2</v>
      </c>
    </row>
    <row r="143" spans="1:7">
      <c r="A143" s="11" t="str">
        <f t="shared" si="2"/>
        <v>EUR_HE09.1.4</v>
      </c>
      <c r="B143" s="8" t="s">
        <v>152</v>
      </c>
      <c r="D143" s="11" t="s">
        <v>873</v>
      </c>
      <c r="E143" s="11">
        <v>59</v>
      </c>
      <c r="F143" s="11">
        <v>0.68</v>
      </c>
      <c r="G143" s="10">
        <v>0.72479886417415995</v>
      </c>
    </row>
    <row r="144" spans="1:7">
      <c r="A144" s="11" t="str">
        <f t="shared" si="2"/>
        <v>EUR_HE09.1.5</v>
      </c>
      <c r="B144" s="8" t="s">
        <v>153</v>
      </c>
      <c r="D144" s="11" t="s">
        <v>874</v>
      </c>
      <c r="E144" s="11">
        <v>95</v>
      </c>
      <c r="F144" s="11">
        <v>1</v>
      </c>
      <c r="G144" s="10">
        <v>9.7605893186003684E-2</v>
      </c>
    </row>
    <row r="145" spans="1:7">
      <c r="A145" s="11" t="str">
        <f t="shared" si="2"/>
        <v>EUR_HE09.2.1</v>
      </c>
      <c r="B145" s="8" t="s">
        <v>154</v>
      </c>
      <c r="D145" s="11" t="s">
        <v>875</v>
      </c>
      <c r="E145" s="11">
        <v>1</v>
      </c>
      <c r="F145" s="11">
        <v>2.2000000000000002E-2</v>
      </c>
      <c r="G145" s="10">
        <v>9.7312051266836772E-3</v>
      </c>
    </row>
    <row r="146" spans="1:7">
      <c r="A146" s="11" t="str">
        <f t="shared" si="2"/>
        <v>EUR_HE09.2.1</v>
      </c>
      <c r="B146" s="8" t="s">
        <v>154</v>
      </c>
      <c r="D146" s="11" t="s">
        <v>875</v>
      </c>
      <c r="E146" s="11">
        <v>29</v>
      </c>
      <c r="F146" s="11">
        <v>0.51300000000000001</v>
      </c>
      <c r="G146" s="10">
        <v>9.389558618702272E-2</v>
      </c>
    </row>
    <row r="147" spans="1:7">
      <c r="A147" s="11" t="str">
        <f t="shared" si="2"/>
        <v>EUR_HE09.2.1</v>
      </c>
      <c r="B147" s="8" t="s">
        <v>154</v>
      </c>
      <c r="D147" s="11" t="s">
        <v>875</v>
      </c>
      <c r="E147" s="11">
        <v>30.1</v>
      </c>
      <c r="F147" s="11">
        <v>0.21100000000000002</v>
      </c>
      <c r="G147" s="10">
        <v>1</v>
      </c>
    </row>
    <row r="148" spans="1:7">
      <c r="A148" s="11" t="str">
        <f t="shared" si="2"/>
        <v>EUR_HE09.2.1</v>
      </c>
      <c r="B148" s="8" t="s">
        <v>154</v>
      </c>
      <c r="D148" s="11" t="s">
        <v>875</v>
      </c>
      <c r="E148" s="11">
        <v>30.3</v>
      </c>
      <c r="F148" s="11">
        <v>4.2999999999999997E-2</v>
      </c>
      <c r="G148" s="10">
        <v>1</v>
      </c>
    </row>
    <row r="149" spans="1:7">
      <c r="A149" s="11" t="str">
        <f t="shared" si="2"/>
        <v>EUR_HE09.2.1</v>
      </c>
      <c r="B149" s="8" t="s">
        <v>154</v>
      </c>
      <c r="D149" s="11" t="s">
        <v>875</v>
      </c>
      <c r="E149" s="11" t="s">
        <v>848</v>
      </c>
      <c r="F149" s="11">
        <v>0.21100000000000002</v>
      </c>
      <c r="G149" s="10">
        <v>0.39368730119892342</v>
      </c>
    </row>
    <row r="150" spans="1:7">
      <c r="A150" s="11" t="str">
        <f t="shared" si="2"/>
        <v>EUR_HE09.2.2</v>
      </c>
      <c r="B150" s="8" t="s">
        <v>155</v>
      </c>
      <c r="D150" s="11" t="s">
        <v>876</v>
      </c>
      <c r="E150" s="11">
        <v>32</v>
      </c>
      <c r="F150" s="11">
        <v>1</v>
      </c>
      <c r="G150" s="10">
        <v>1.3100942958726233E-2</v>
      </c>
    </row>
    <row r="151" spans="1:7">
      <c r="A151" s="11" t="str">
        <f t="shared" si="2"/>
        <v>EUR_HE09.2.3</v>
      </c>
      <c r="B151" s="8" t="s">
        <v>156</v>
      </c>
      <c r="D151" s="11" t="s">
        <v>877</v>
      </c>
      <c r="E151" s="11">
        <v>52</v>
      </c>
      <c r="F151" s="11">
        <v>1</v>
      </c>
      <c r="G151" s="10">
        <v>0.13477088948787061</v>
      </c>
    </row>
    <row r="152" spans="1:7">
      <c r="A152" s="11" t="str">
        <f t="shared" si="2"/>
        <v>EUR_HE09.3.1</v>
      </c>
      <c r="B152" s="8" t="s">
        <v>157</v>
      </c>
      <c r="D152" s="11" t="s">
        <v>878</v>
      </c>
      <c r="E152" s="11">
        <v>18</v>
      </c>
      <c r="F152" s="11">
        <v>0.01</v>
      </c>
      <c r="G152" s="10">
        <v>1</v>
      </c>
    </row>
    <row r="153" spans="1:7">
      <c r="A153" s="11" t="str">
        <f t="shared" si="2"/>
        <v>EUR_HE09.3.1</v>
      </c>
      <c r="B153" s="8" t="s">
        <v>157</v>
      </c>
      <c r="D153" s="11" t="s">
        <v>878</v>
      </c>
      <c r="E153" s="11">
        <v>20.5</v>
      </c>
      <c r="F153" s="11">
        <v>0.01</v>
      </c>
      <c r="G153" s="10">
        <v>0.12750185322461083</v>
      </c>
    </row>
    <row r="154" spans="1:7">
      <c r="A154" s="11" t="str">
        <f t="shared" si="2"/>
        <v>EUR_HE09.3.1</v>
      </c>
      <c r="B154" s="8" t="s">
        <v>157</v>
      </c>
      <c r="D154" s="11" t="s">
        <v>878</v>
      </c>
      <c r="E154" s="11">
        <v>32</v>
      </c>
      <c r="F154" s="11">
        <v>0.68</v>
      </c>
      <c r="G154" s="10">
        <v>0.45432060596691914</v>
      </c>
    </row>
    <row r="155" spans="1:7">
      <c r="A155" s="11" t="str">
        <f t="shared" si="2"/>
        <v>EUR_HE09.3.1</v>
      </c>
      <c r="B155" s="8" t="s">
        <v>157</v>
      </c>
      <c r="D155" s="11" t="s">
        <v>878</v>
      </c>
      <c r="E155" s="11">
        <v>58</v>
      </c>
      <c r="F155" s="11">
        <v>0.3</v>
      </c>
      <c r="G155" s="10">
        <v>0.37680738211145826</v>
      </c>
    </row>
    <row r="156" spans="1:7">
      <c r="A156" s="11" t="str">
        <f t="shared" si="2"/>
        <v>EUR_HE09.3.2</v>
      </c>
      <c r="B156" s="8" t="s">
        <v>158</v>
      </c>
      <c r="D156" s="11" t="s">
        <v>879</v>
      </c>
      <c r="E156" s="11">
        <v>13</v>
      </c>
      <c r="F156" s="11">
        <v>0.15</v>
      </c>
      <c r="G156" s="10">
        <v>3.0467445742904841E-2</v>
      </c>
    </row>
    <row r="157" spans="1:7">
      <c r="A157" s="11" t="str">
        <f t="shared" si="2"/>
        <v>EUR_HE09.3.2</v>
      </c>
      <c r="B157" s="8" t="s">
        <v>158</v>
      </c>
      <c r="D157" s="11" t="s">
        <v>879</v>
      </c>
      <c r="E157" s="11">
        <v>15</v>
      </c>
      <c r="F157" s="11">
        <v>0.23100000000000001</v>
      </c>
      <c r="G157" s="10">
        <v>6.4248210023866353E-2</v>
      </c>
    </row>
    <row r="158" spans="1:7">
      <c r="A158" s="11" t="str">
        <f t="shared" si="2"/>
        <v>EUR_HE09.3.2</v>
      </c>
      <c r="B158" s="8" t="s">
        <v>158</v>
      </c>
      <c r="D158" s="11" t="s">
        <v>879</v>
      </c>
      <c r="E158" s="11">
        <v>25.4</v>
      </c>
      <c r="F158" s="11">
        <v>0.01</v>
      </c>
      <c r="G158" s="10">
        <v>1</v>
      </c>
    </row>
    <row r="159" spans="1:7">
      <c r="A159" s="11" t="str">
        <f t="shared" si="2"/>
        <v>EUR_HE09.3.2</v>
      </c>
      <c r="B159" s="8" t="s">
        <v>158</v>
      </c>
      <c r="D159" s="11" t="s">
        <v>879</v>
      </c>
      <c r="E159" s="11">
        <v>27</v>
      </c>
      <c r="F159" s="11">
        <v>0.51</v>
      </c>
      <c r="G159" s="10">
        <v>0.15615175015719976</v>
      </c>
    </row>
    <row r="160" spans="1:7">
      <c r="A160" s="11" t="str">
        <f t="shared" si="2"/>
        <v>EUR_HE09.3.2</v>
      </c>
      <c r="B160" s="8" t="s">
        <v>158</v>
      </c>
      <c r="D160" s="11" t="s">
        <v>879</v>
      </c>
      <c r="E160" s="11">
        <v>28</v>
      </c>
      <c r="F160" s="11">
        <v>0.01</v>
      </c>
      <c r="G160" s="10">
        <v>1.1133200795228629E-2</v>
      </c>
    </row>
    <row r="161" spans="1:7">
      <c r="A161" s="11" t="str">
        <f t="shared" si="2"/>
        <v>EUR_HE09.3.2</v>
      </c>
      <c r="B161" s="8" t="s">
        <v>158</v>
      </c>
      <c r="D161" s="11" t="s">
        <v>879</v>
      </c>
      <c r="E161" s="11">
        <v>31</v>
      </c>
      <c r="F161" s="11">
        <v>0.02</v>
      </c>
      <c r="G161" s="10">
        <v>5.1066117183300487E-3</v>
      </c>
    </row>
    <row r="162" spans="1:7">
      <c r="A162" s="11" t="str">
        <f t="shared" si="2"/>
        <v>EUR_HE09.3.2</v>
      </c>
      <c r="B162" s="8" t="s">
        <v>158</v>
      </c>
      <c r="D162" s="11" t="s">
        <v>879</v>
      </c>
      <c r="E162" s="11">
        <v>32</v>
      </c>
      <c r="F162" s="11">
        <v>7.0000000000000007E-2</v>
      </c>
      <c r="G162" s="10">
        <v>7.9223991343329719E-3</v>
      </c>
    </row>
    <row r="163" spans="1:7">
      <c r="A163" s="11" t="str">
        <f t="shared" si="2"/>
        <v>EUR_HE09.3.3</v>
      </c>
      <c r="B163" s="8" t="s">
        <v>159</v>
      </c>
      <c r="D163" s="11" t="s">
        <v>880</v>
      </c>
      <c r="E163" s="11">
        <v>1</v>
      </c>
      <c r="F163" s="11">
        <v>0.74900000000000011</v>
      </c>
      <c r="G163" s="10">
        <v>0.12970984394469828</v>
      </c>
    </row>
    <row r="164" spans="1:7">
      <c r="A164" s="11" t="str">
        <f t="shared" si="2"/>
        <v>EUR_HE09.3.3</v>
      </c>
      <c r="B164" s="8" t="s">
        <v>159</v>
      </c>
      <c r="D164" s="11" t="s">
        <v>880</v>
      </c>
      <c r="E164" s="11">
        <v>2</v>
      </c>
      <c r="F164" s="11">
        <v>0.05</v>
      </c>
      <c r="G164" s="10">
        <v>0.87951807228915657</v>
      </c>
    </row>
    <row r="165" spans="1:7">
      <c r="A165" s="11" t="str">
        <f t="shared" si="2"/>
        <v>EUR_HE09.3.3</v>
      </c>
      <c r="B165" s="8" t="s">
        <v>159</v>
      </c>
      <c r="D165" s="11" t="s">
        <v>880</v>
      </c>
      <c r="E165" s="11">
        <v>8</v>
      </c>
      <c r="F165" s="11">
        <v>0.01</v>
      </c>
      <c r="G165" s="10">
        <v>0.41666666666666669</v>
      </c>
    </row>
    <row r="166" spans="1:7">
      <c r="A166" s="11" t="str">
        <f t="shared" si="2"/>
        <v>EUR_HE09.3.3</v>
      </c>
      <c r="B166" s="8" t="s">
        <v>159</v>
      </c>
      <c r="D166" s="11" t="s">
        <v>880</v>
      </c>
      <c r="E166" s="11" t="s">
        <v>881</v>
      </c>
      <c r="F166" s="11">
        <v>0.08</v>
      </c>
      <c r="G166" s="10">
        <v>1</v>
      </c>
    </row>
    <row r="167" spans="1:7">
      <c r="A167" s="11" t="str">
        <f t="shared" si="2"/>
        <v>EUR_HE09.3.3</v>
      </c>
      <c r="B167" s="8" t="s">
        <v>159</v>
      </c>
      <c r="D167" s="11" t="s">
        <v>880</v>
      </c>
      <c r="E167" s="11" t="s">
        <v>882</v>
      </c>
      <c r="F167" s="11">
        <v>0.05</v>
      </c>
      <c r="G167" s="10">
        <v>0.72499999999999998</v>
      </c>
    </row>
    <row r="168" spans="1:7">
      <c r="A168" s="11" t="str">
        <f t="shared" si="2"/>
        <v>EUR_HE09.3.3</v>
      </c>
      <c r="B168" s="8" t="s">
        <v>159</v>
      </c>
      <c r="D168" s="11" t="s">
        <v>880</v>
      </c>
      <c r="E168" s="11">
        <v>22</v>
      </c>
      <c r="F168" s="11">
        <v>0.02</v>
      </c>
      <c r="G168" s="10">
        <v>1.6260162601626018E-2</v>
      </c>
    </row>
    <row r="169" spans="1:7">
      <c r="A169" s="11" t="str">
        <f t="shared" si="2"/>
        <v>EUR_HE09.3.3</v>
      </c>
      <c r="B169" s="8" t="s">
        <v>159</v>
      </c>
      <c r="D169" s="11" t="s">
        <v>880</v>
      </c>
      <c r="E169" s="11" t="s">
        <v>818</v>
      </c>
      <c r="F169" s="11">
        <v>0.03</v>
      </c>
      <c r="G169" s="10">
        <v>2.6788432267884323E-2</v>
      </c>
    </row>
    <row r="170" spans="1:7">
      <c r="A170" s="11" t="str">
        <f t="shared" si="2"/>
        <v>EUR_HE09.3.3</v>
      </c>
      <c r="B170" s="8" t="s">
        <v>159</v>
      </c>
      <c r="D170" s="11" t="s">
        <v>880</v>
      </c>
      <c r="E170" s="11">
        <v>32</v>
      </c>
      <c r="F170" s="11">
        <v>0.01</v>
      </c>
      <c r="G170" s="10">
        <v>1.159375483073118E-3</v>
      </c>
    </row>
    <row r="171" spans="1:7">
      <c r="A171" s="11" t="str">
        <f t="shared" si="2"/>
        <v>EUR_HE09.3.4</v>
      </c>
      <c r="B171" s="8" t="s">
        <v>160</v>
      </c>
      <c r="D171" s="11" t="s">
        <v>883</v>
      </c>
      <c r="E171" s="11">
        <v>1</v>
      </c>
      <c r="F171" s="11">
        <v>0.04</v>
      </c>
      <c r="G171" s="10">
        <v>8.3071263276567973E-3</v>
      </c>
    </row>
    <row r="172" spans="1:7">
      <c r="A172" s="11" t="str">
        <f t="shared" si="2"/>
        <v>EUR_HE09.3.4</v>
      </c>
      <c r="B172" s="8" t="s">
        <v>160</v>
      </c>
      <c r="D172" s="11" t="s">
        <v>883</v>
      </c>
      <c r="E172" s="11">
        <v>10.9</v>
      </c>
      <c r="F172" s="11">
        <v>0.86699999999999999</v>
      </c>
      <c r="G172" s="10">
        <v>1</v>
      </c>
    </row>
    <row r="173" spans="1:7">
      <c r="A173" s="11" t="str">
        <f t="shared" si="2"/>
        <v>EUR_HE09.3.4</v>
      </c>
      <c r="B173" s="8" t="s">
        <v>160</v>
      </c>
      <c r="D173" s="11" t="s">
        <v>883</v>
      </c>
      <c r="E173" s="11">
        <v>15</v>
      </c>
      <c r="F173" s="11">
        <v>1.6E-2</v>
      </c>
      <c r="G173" s="10">
        <v>5.4415274463007158E-3</v>
      </c>
    </row>
    <row r="174" spans="1:7">
      <c r="A174" s="11" t="str">
        <f t="shared" si="2"/>
        <v>EUR_HE09.3.4</v>
      </c>
      <c r="B174" s="8" t="s">
        <v>160</v>
      </c>
      <c r="D174" s="11" t="s">
        <v>883</v>
      </c>
      <c r="E174" s="11">
        <v>16</v>
      </c>
      <c r="F174" s="11">
        <v>4.0000000000000001E-3</v>
      </c>
      <c r="G174" s="10">
        <v>1.3224821973550356E-2</v>
      </c>
    </row>
    <row r="175" spans="1:7">
      <c r="A175" s="11" t="str">
        <f t="shared" si="2"/>
        <v>EUR_HE09.3.4</v>
      </c>
      <c r="B175" s="8" t="s">
        <v>160</v>
      </c>
      <c r="D175" s="11" t="s">
        <v>883</v>
      </c>
      <c r="E175" s="11">
        <v>17</v>
      </c>
      <c r="F175" s="11">
        <v>4.0000000000000001E-3</v>
      </c>
      <c r="G175" s="10">
        <v>3.6083714216983403E-3</v>
      </c>
    </row>
    <row r="176" spans="1:7">
      <c r="A176" s="11" t="str">
        <f t="shared" si="2"/>
        <v>EUR_HE09.3.4</v>
      </c>
      <c r="B176" s="8" t="s">
        <v>160</v>
      </c>
      <c r="D176" s="11" t="s">
        <v>883</v>
      </c>
      <c r="E176" s="11" t="s">
        <v>882</v>
      </c>
      <c r="F176" s="11">
        <v>1.6E-2</v>
      </c>
      <c r="G176" s="10">
        <v>0.27500000000000002</v>
      </c>
    </row>
    <row r="177" spans="1:7">
      <c r="A177" s="11" t="str">
        <f t="shared" si="2"/>
        <v>EUR_HE09.3.4</v>
      </c>
      <c r="B177" s="8" t="s">
        <v>160</v>
      </c>
      <c r="D177" s="11" t="s">
        <v>883</v>
      </c>
      <c r="E177" s="11">
        <v>21</v>
      </c>
      <c r="F177" s="11">
        <v>3.3000000000000002E-2</v>
      </c>
      <c r="G177" s="10">
        <v>9.7095575818980078E-3</v>
      </c>
    </row>
    <row r="178" spans="1:7">
      <c r="A178" s="11" t="str">
        <f t="shared" si="2"/>
        <v>EUR_HE09.3.4</v>
      </c>
      <c r="B178" s="8" t="s">
        <v>160</v>
      </c>
      <c r="D178" s="11" t="s">
        <v>883</v>
      </c>
      <c r="E178" s="11">
        <v>22</v>
      </c>
      <c r="F178" s="11">
        <v>6.0000000000000001E-3</v>
      </c>
      <c r="G178" s="10">
        <v>6.1676478833753851E-3</v>
      </c>
    </row>
    <row r="179" spans="1:7">
      <c r="A179" s="11" t="str">
        <f t="shared" si="2"/>
        <v>EUR_HE09.3.4</v>
      </c>
      <c r="B179" s="8" t="s">
        <v>160</v>
      </c>
      <c r="D179" s="11" t="s">
        <v>883</v>
      </c>
      <c r="E179" s="11" t="s">
        <v>818</v>
      </c>
      <c r="F179" s="11">
        <v>9.0000000000000011E-3</v>
      </c>
      <c r="G179" s="10">
        <v>1.0045662100456621E-2</v>
      </c>
    </row>
    <row r="180" spans="1:7">
      <c r="A180" s="11" t="str">
        <f t="shared" si="2"/>
        <v>EUR_HE09.3.4</v>
      </c>
      <c r="B180" s="8" t="s">
        <v>160</v>
      </c>
      <c r="D180" s="11" t="s">
        <v>883</v>
      </c>
      <c r="E180" s="11" t="s">
        <v>821</v>
      </c>
      <c r="F180" s="11">
        <v>4.0000000000000001E-3</v>
      </c>
      <c r="G180" s="10">
        <v>2.7711797307996833E-3</v>
      </c>
    </row>
    <row r="181" spans="1:7">
      <c r="A181" s="11" t="str">
        <f t="shared" si="2"/>
        <v>EUR_HE09.3.5</v>
      </c>
      <c r="B181" s="8" t="s">
        <v>161</v>
      </c>
      <c r="D181" s="11" t="s">
        <v>884</v>
      </c>
      <c r="E181" s="11">
        <v>75</v>
      </c>
      <c r="F181" s="11">
        <v>1</v>
      </c>
      <c r="G181" s="10">
        <v>1</v>
      </c>
    </row>
    <row r="182" spans="1:7">
      <c r="A182" s="11" t="str">
        <f t="shared" si="2"/>
        <v>EUR_HE09.4.1</v>
      </c>
      <c r="B182" s="8" t="s">
        <v>162</v>
      </c>
      <c r="D182" s="11" t="s">
        <v>885</v>
      </c>
      <c r="E182" s="11">
        <v>77</v>
      </c>
      <c r="F182" s="11">
        <v>0.02</v>
      </c>
      <c r="G182" s="10">
        <v>1.7041486241095125E-2</v>
      </c>
    </row>
    <row r="183" spans="1:7">
      <c r="A183" s="11" t="str">
        <f t="shared" si="2"/>
        <v>EUR_HE09.4.1</v>
      </c>
      <c r="B183" s="8" t="s">
        <v>162</v>
      </c>
      <c r="D183" s="11" t="s">
        <v>885</v>
      </c>
      <c r="E183" s="11">
        <v>93</v>
      </c>
      <c r="F183" s="11">
        <v>0.98</v>
      </c>
      <c r="G183" s="10">
        <v>0.78939901986071703</v>
      </c>
    </row>
    <row r="184" spans="1:7">
      <c r="A184" s="11" t="str">
        <f t="shared" si="2"/>
        <v>EUR_HE09.4.2</v>
      </c>
      <c r="B184" s="8" t="s">
        <v>163</v>
      </c>
      <c r="D184" s="11" t="s">
        <v>886</v>
      </c>
      <c r="E184" s="11">
        <v>59</v>
      </c>
      <c r="F184" s="11">
        <v>7.2999999999999995E-2</v>
      </c>
      <c r="G184" s="10">
        <v>0.27520113582584005</v>
      </c>
    </row>
    <row r="185" spans="1:7">
      <c r="A185" s="11" t="str">
        <f t="shared" si="2"/>
        <v>EUR_HE09.4.2</v>
      </c>
      <c r="B185" s="8" t="s">
        <v>163</v>
      </c>
      <c r="D185" s="11" t="s">
        <v>886</v>
      </c>
      <c r="E185" s="11">
        <v>60</v>
      </c>
      <c r="F185" s="11">
        <v>0.38900000000000001</v>
      </c>
      <c r="G185" s="10">
        <v>1</v>
      </c>
    </row>
    <row r="186" spans="1:7">
      <c r="A186" s="11" t="str">
        <f t="shared" si="2"/>
        <v>EUR_HE09.4.2</v>
      </c>
      <c r="B186" s="8" t="s">
        <v>163</v>
      </c>
      <c r="D186" s="11" t="s">
        <v>886</v>
      </c>
      <c r="E186" s="11">
        <v>74</v>
      </c>
      <c r="F186" s="11">
        <v>3.4000000000000002E-2</v>
      </c>
      <c r="G186" s="10">
        <v>1</v>
      </c>
    </row>
    <row r="187" spans="1:7">
      <c r="A187" s="11" t="str">
        <f t="shared" si="2"/>
        <v>EUR_HE09.4.2</v>
      </c>
      <c r="B187" s="8" t="s">
        <v>163</v>
      </c>
      <c r="D187" s="11" t="s">
        <v>886</v>
      </c>
      <c r="E187" s="11">
        <v>77</v>
      </c>
      <c r="F187" s="11">
        <v>2.5000000000000001E-2</v>
      </c>
      <c r="G187" s="10">
        <v>5.6292778320994552E-2</v>
      </c>
    </row>
    <row r="188" spans="1:7">
      <c r="A188" s="11" t="str">
        <f t="shared" si="2"/>
        <v>EUR_HE09.4.2</v>
      </c>
      <c r="B188" s="8" t="s">
        <v>163</v>
      </c>
      <c r="D188" s="11" t="s">
        <v>886</v>
      </c>
      <c r="E188" s="11">
        <v>90</v>
      </c>
      <c r="F188" s="11">
        <v>0.19699999999999998</v>
      </c>
      <c r="G188" s="10">
        <v>1</v>
      </c>
    </row>
    <row r="189" spans="1:7">
      <c r="A189" s="11" t="str">
        <f t="shared" si="2"/>
        <v>EUR_HE09.4.2</v>
      </c>
      <c r="B189" s="8" t="s">
        <v>163</v>
      </c>
      <c r="D189" s="11" t="s">
        <v>886</v>
      </c>
      <c r="E189" s="11">
        <v>91</v>
      </c>
      <c r="F189" s="11">
        <v>0.17899999999999999</v>
      </c>
      <c r="G189" s="10">
        <v>1</v>
      </c>
    </row>
    <row r="190" spans="1:7">
      <c r="A190" s="11" t="str">
        <f t="shared" si="2"/>
        <v>EUR_HE09.4.2</v>
      </c>
      <c r="B190" s="8" t="s">
        <v>163</v>
      </c>
      <c r="D190" s="11" t="s">
        <v>886</v>
      </c>
      <c r="E190" s="11">
        <v>93</v>
      </c>
      <c r="F190" s="11">
        <v>0.10199999999999999</v>
      </c>
      <c r="G190" s="10">
        <v>0.21060098013928294</v>
      </c>
    </row>
    <row r="191" spans="1:7">
      <c r="A191" s="11" t="str">
        <f t="shared" si="2"/>
        <v>EUR_HE09.4.3</v>
      </c>
      <c r="B191" s="8" t="s">
        <v>164</v>
      </c>
      <c r="D191" s="11" t="s">
        <v>887</v>
      </c>
      <c r="E191" s="11">
        <v>92</v>
      </c>
      <c r="F191" s="11">
        <v>1</v>
      </c>
      <c r="G191" s="10">
        <v>1</v>
      </c>
    </row>
    <row r="192" spans="1:7">
      <c r="A192" s="11" t="str">
        <f t="shared" si="2"/>
        <v>EUR_HE09.5.1</v>
      </c>
      <c r="B192" s="8" t="s">
        <v>165</v>
      </c>
      <c r="D192" s="11" t="s">
        <v>888</v>
      </c>
      <c r="E192" s="11">
        <v>58</v>
      </c>
      <c r="F192" s="11">
        <v>1</v>
      </c>
      <c r="G192" s="10">
        <v>0.21114582576473154</v>
      </c>
    </row>
    <row r="193" spans="1:7">
      <c r="A193" s="11" t="str">
        <f t="shared" si="2"/>
        <v>EUR_HE09.5.2</v>
      </c>
      <c r="B193" s="8" t="s">
        <v>166</v>
      </c>
      <c r="D193" s="11" t="s">
        <v>889</v>
      </c>
      <c r="E193" s="11">
        <v>58</v>
      </c>
      <c r="F193" s="11">
        <v>1</v>
      </c>
      <c r="G193" s="10">
        <v>0.2840223788418223</v>
      </c>
    </row>
    <row r="194" spans="1:7">
      <c r="A194" s="11" t="str">
        <f t="shared" si="2"/>
        <v>EUR_HE09.5.3</v>
      </c>
      <c r="B194" s="8" t="s">
        <v>167</v>
      </c>
      <c r="D194" s="11" t="s">
        <v>890</v>
      </c>
      <c r="E194" s="11">
        <v>58</v>
      </c>
      <c r="F194" s="11">
        <v>1</v>
      </c>
      <c r="G194" s="10">
        <v>0.10520961999564049</v>
      </c>
    </row>
    <row r="195" spans="1:7">
      <c r="A195" s="11" t="str">
        <f t="shared" si="2"/>
        <v>EUR_HE09.5.4</v>
      </c>
      <c r="B195" s="8" t="s">
        <v>168</v>
      </c>
      <c r="D195" s="11" t="s">
        <v>891</v>
      </c>
      <c r="E195" s="11">
        <v>16</v>
      </c>
      <c r="F195" s="11">
        <v>0.111</v>
      </c>
      <c r="G195" s="10">
        <v>0.32146490335707018</v>
      </c>
    </row>
    <row r="196" spans="1:7">
      <c r="A196" s="11" t="str">
        <f t="shared" si="2"/>
        <v>EUR_HE09.5.4</v>
      </c>
      <c r="B196" s="8" t="s">
        <v>168</v>
      </c>
      <c r="D196" s="11" t="s">
        <v>891</v>
      </c>
      <c r="E196" s="11">
        <v>17</v>
      </c>
      <c r="F196" s="11">
        <v>0.222</v>
      </c>
      <c r="G196" s="10">
        <v>0.15179215780611016</v>
      </c>
    </row>
    <row r="197" spans="1:7">
      <c r="A197" s="11" t="str">
        <f t="shared" si="2"/>
        <v>EUR_HE09.5.4</v>
      </c>
      <c r="B197" s="8" t="s">
        <v>168</v>
      </c>
      <c r="D197" s="11" t="s">
        <v>891</v>
      </c>
      <c r="E197" s="11">
        <v>20.5</v>
      </c>
      <c r="F197" s="11">
        <v>0.222</v>
      </c>
      <c r="G197" s="10">
        <v>0.46701260192735361</v>
      </c>
    </row>
    <row r="198" spans="1:7">
      <c r="A198" s="11" t="str">
        <f t="shared" ref="A198:A255" si="3">+"EUR_HE"&amp;D198</f>
        <v>EUR_HE09.5.4</v>
      </c>
      <c r="B198" s="8" t="s">
        <v>168</v>
      </c>
      <c r="D198" s="11" t="s">
        <v>891</v>
      </c>
      <c r="E198" s="11">
        <v>22</v>
      </c>
      <c r="F198" s="11">
        <v>0.111</v>
      </c>
      <c r="G198" s="10">
        <v>8.8029156153630508E-2</v>
      </c>
    </row>
    <row r="199" spans="1:7">
      <c r="A199" s="11" t="str">
        <f t="shared" si="3"/>
        <v>EUR_HE09.5.4</v>
      </c>
      <c r="B199" s="8" t="s">
        <v>168</v>
      </c>
      <c r="D199" s="11" t="s">
        <v>891</v>
      </c>
      <c r="E199" s="11" t="s">
        <v>821</v>
      </c>
      <c r="F199" s="11">
        <v>0.111</v>
      </c>
      <c r="G199" s="10">
        <v>6.2153602533650036E-2</v>
      </c>
    </row>
    <row r="200" spans="1:7">
      <c r="A200" s="11" t="str">
        <f t="shared" si="3"/>
        <v>EUR_HE09.5.4</v>
      </c>
      <c r="B200" s="8" t="s">
        <v>168</v>
      </c>
      <c r="D200" s="11" t="s">
        <v>891</v>
      </c>
      <c r="E200" s="11">
        <v>32</v>
      </c>
      <c r="F200" s="11">
        <v>0.11199999999999999</v>
      </c>
      <c r="G200" s="10">
        <v>1.2289380120575051E-2</v>
      </c>
    </row>
    <row r="201" spans="1:7">
      <c r="A201" s="11" t="str">
        <f t="shared" si="3"/>
        <v>EUR_HE09.5.4</v>
      </c>
      <c r="B201" s="8" t="s">
        <v>168</v>
      </c>
      <c r="D201" s="11" t="s">
        <v>891</v>
      </c>
      <c r="E201" s="11">
        <v>58</v>
      </c>
      <c r="F201" s="11">
        <v>0.111</v>
      </c>
      <c r="G201" s="10">
        <v>2.2814793286347453E-2</v>
      </c>
    </row>
    <row r="202" spans="1:7">
      <c r="A202" s="11" t="str">
        <f t="shared" si="3"/>
        <v>EUR_HE9.6</v>
      </c>
      <c r="B202" s="8" t="s">
        <v>892</v>
      </c>
      <c r="D202" s="11">
        <v>9.6</v>
      </c>
      <c r="E202" s="11">
        <v>79</v>
      </c>
      <c r="F202" s="11">
        <v>1</v>
      </c>
      <c r="G202" s="10">
        <v>0</v>
      </c>
    </row>
    <row r="203" spans="1:7">
      <c r="A203" s="11" t="str">
        <f t="shared" si="3"/>
        <v>EUR_HE10.1</v>
      </c>
      <c r="B203" s="8" t="s">
        <v>63</v>
      </c>
      <c r="D203" s="11">
        <v>10.1</v>
      </c>
      <c r="E203" s="11">
        <v>85</v>
      </c>
      <c r="F203" s="11">
        <v>1</v>
      </c>
      <c r="G203" s="10">
        <v>6.9321354862207113E-2</v>
      </c>
    </row>
    <row r="204" spans="1:7">
      <c r="A204" s="11" t="str">
        <f t="shared" si="3"/>
        <v>EUR_HE10.2</v>
      </c>
      <c r="B204" s="8" t="s">
        <v>64</v>
      </c>
      <c r="D204" s="11">
        <v>10.199999999999999</v>
      </c>
      <c r="E204" s="11">
        <v>85</v>
      </c>
      <c r="F204" s="11">
        <v>1</v>
      </c>
      <c r="G204" s="10">
        <v>0.1389462182833556</v>
      </c>
    </row>
    <row r="205" spans="1:7">
      <c r="A205" s="11" t="str">
        <f t="shared" si="3"/>
        <v>EUR_HE10.3</v>
      </c>
      <c r="B205" s="8" t="s">
        <v>65</v>
      </c>
      <c r="D205" s="11">
        <v>10.3</v>
      </c>
      <c r="E205" s="11">
        <v>85</v>
      </c>
      <c r="F205" s="11">
        <v>1</v>
      </c>
      <c r="G205" s="10">
        <v>0.13287604710452836</v>
      </c>
    </row>
    <row r="206" spans="1:7">
      <c r="A206" s="11" t="str">
        <f t="shared" si="3"/>
        <v>EUR_HE10.4</v>
      </c>
      <c r="B206" s="8" t="s">
        <v>66</v>
      </c>
      <c r="D206" s="11">
        <v>10.4</v>
      </c>
      <c r="E206" s="11">
        <v>85</v>
      </c>
      <c r="F206" s="11">
        <v>1</v>
      </c>
      <c r="G206" s="10">
        <v>0.55511715430375141</v>
      </c>
    </row>
    <row r="207" spans="1:7">
      <c r="A207" s="11" t="str">
        <f t="shared" si="3"/>
        <v>EUR_HE10.5</v>
      </c>
      <c r="B207" s="8" t="s">
        <v>67</v>
      </c>
      <c r="D207" s="11">
        <v>10.5</v>
      </c>
      <c r="E207" s="11">
        <v>85</v>
      </c>
      <c r="F207" s="11">
        <v>1</v>
      </c>
      <c r="G207" s="10">
        <v>9.4876775525069804E-2</v>
      </c>
    </row>
    <row r="208" spans="1:7">
      <c r="A208" s="11" t="str">
        <f t="shared" si="3"/>
        <v>EUR_HE11.1.1</v>
      </c>
      <c r="B208" s="8" t="s">
        <v>174</v>
      </c>
      <c r="D208" s="11" t="s">
        <v>893</v>
      </c>
      <c r="E208" s="11">
        <v>56</v>
      </c>
      <c r="F208" s="11">
        <v>1</v>
      </c>
      <c r="G208" s="10">
        <v>0.91163492666966206</v>
      </c>
    </row>
    <row r="209" spans="1:7">
      <c r="A209" s="11" t="str">
        <f t="shared" si="3"/>
        <v>EUR_HE11.1.2</v>
      </c>
      <c r="B209" s="8" t="s">
        <v>176</v>
      </c>
      <c r="D209" s="11" t="s">
        <v>894</v>
      </c>
      <c r="E209" s="11">
        <v>56</v>
      </c>
      <c r="F209" s="11">
        <v>1</v>
      </c>
      <c r="G209" s="10">
        <v>8.8365073330337912E-2</v>
      </c>
    </row>
    <row r="210" spans="1:7">
      <c r="A210" s="11" t="str">
        <f t="shared" si="3"/>
        <v>EUR_HE11.2</v>
      </c>
      <c r="B210" s="8" t="s">
        <v>70</v>
      </c>
      <c r="D210" s="11">
        <v>11.2</v>
      </c>
      <c r="E210" s="11">
        <v>55</v>
      </c>
      <c r="F210" s="11">
        <v>0.97</v>
      </c>
      <c r="G210" s="10">
        <v>1</v>
      </c>
    </row>
    <row r="211" spans="1:7">
      <c r="A211" s="11" t="str">
        <f t="shared" si="3"/>
        <v>EUR_HE11.2</v>
      </c>
      <c r="B211" s="8" t="s">
        <v>70</v>
      </c>
      <c r="D211" s="11">
        <v>11.2</v>
      </c>
      <c r="E211" s="11" t="s">
        <v>812</v>
      </c>
      <c r="F211" s="11">
        <v>0.03</v>
      </c>
      <c r="G211" s="10">
        <v>8.4211922286320535E-3</v>
      </c>
    </row>
    <row r="212" spans="1:7">
      <c r="A212" s="11" t="str">
        <f t="shared" si="3"/>
        <v>EUR_HE12.1.1</v>
      </c>
      <c r="B212" s="8" t="s">
        <v>233</v>
      </c>
      <c r="D212" s="11" t="s">
        <v>895</v>
      </c>
      <c r="E212" s="11">
        <v>96</v>
      </c>
      <c r="F212" s="11">
        <v>1</v>
      </c>
      <c r="G212" s="10">
        <v>0.34505431675242998</v>
      </c>
    </row>
    <row r="213" spans="1:7">
      <c r="A213" s="11" t="str">
        <f t="shared" si="3"/>
        <v>EUR_HE12.1.2</v>
      </c>
      <c r="B213" s="8" t="s">
        <v>235</v>
      </c>
      <c r="D213" s="11" t="s">
        <v>896</v>
      </c>
      <c r="E213" s="11">
        <v>27</v>
      </c>
      <c r="F213" s="11">
        <v>1</v>
      </c>
      <c r="G213" s="10">
        <v>0.14797736323621882</v>
      </c>
    </row>
    <row r="214" spans="1:7">
      <c r="A214" s="11" t="str">
        <f t="shared" si="3"/>
        <v>EUR_HE12.1.3</v>
      </c>
      <c r="B214" s="8" t="s">
        <v>237</v>
      </c>
      <c r="D214" s="11" t="s">
        <v>897</v>
      </c>
      <c r="E214" s="11">
        <v>17</v>
      </c>
      <c r="F214" s="11">
        <v>0.18</v>
      </c>
      <c r="G214" s="10">
        <v>0.80875631464998798</v>
      </c>
    </row>
    <row r="215" spans="1:7">
      <c r="A215" s="11" t="str">
        <f t="shared" si="3"/>
        <v>EUR_HE12.1.3</v>
      </c>
      <c r="B215" s="8" t="s">
        <v>237</v>
      </c>
      <c r="D215" s="11" t="s">
        <v>897</v>
      </c>
      <c r="E215" s="11">
        <v>20.399999999999999</v>
      </c>
      <c r="F215" s="11">
        <v>0.74</v>
      </c>
      <c r="G215" s="10">
        <v>0.78649063904854033</v>
      </c>
    </row>
    <row r="216" spans="1:7">
      <c r="A216" s="11" t="str">
        <f t="shared" si="3"/>
        <v>EUR_HE12.1.3</v>
      </c>
      <c r="B216" s="8" t="s">
        <v>237</v>
      </c>
      <c r="D216" s="11" t="s">
        <v>897</v>
      </c>
      <c r="E216" s="11">
        <v>20.5</v>
      </c>
      <c r="F216" s="11">
        <v>0.01</v>
      </c>
      <c r="G216" s="10">
        <v>0.13862120088954782</v>
      </c>
    </row>
    <row r="217" spans="1:7">
      <c r="A217" s="11" t="str">
        <f t="shared" si="3"/>
        <v>EUR_HE12.1.3</v>
      </c>
      <c r="B217" s="8" t="s">
        <v>237</v>
      </c>
      <c r="D217" s="11" t="s">
        <v>897</v>
      </c>
      <c r="E217" s="11" t="s">
        <v>821</v>
      </c>
      <c r="F217" s="11">
        <v>0.02</v>
      </c>
      <c r="G217" s="10">
        <v>7.3832145684877282E-2</v>
      </c>
    </row>
    <row r="218" spans="1:7">
      <c r="A218" s="11" t="str">
        <f t="shared" si="3"/>
        <v>EUR_HE12.1.3</v>
      </c>
      <c r="B218" s="8" t="s">
        <v>237</v>
      </c>
      <c r="D218" s="11" t="s">
        <v>897</v>
      </c>
      <c r="E218" s="11">
        <v>32</v>
      </c>
      <c r="F218" s="11">
        <v>0.05</v>
      </c>
      <c r="G218" s="10">
        <v>3.6056577523573968E-2</v>
      </c>
    </row>
    <row r="219" spans="1:7">
      <c r="A219" s="11" t="str">
        <f t="shared" si="3"/>
        <v>EUR_HE12.2</v>
      </c>
      <c r="B219" s="8" t="s">
        <v>81</v>
      </c>
      <c r="D219" s="11">
        <v>12.2</v>
      </c>
      <c r="E219" s="11">
        <v>96</v>
      </c>
      <c r="F219" s="11">
        <v>1</v>
      </c>
      <c r="G219" s="10">
        <v>0.33676386506575184</v>
      </c>
    </row>
    <row r="220" spans="1:7">
      <c r="A220" s="11" t="str">
        <f t="shared" si="3"/>
        <v>EUR_HE12.3.1</v>
      </c>
      <c r="B220" s="8" t="s">
        <v>244</v>
      </c>
      <c r="D220" s="11" t="s">
        <v>898</v>
      </c>
      <c r="E220" s="11">
        <v>15</v>
      </c>
      <c r="F220" s="11">
        <v>4.8000000000000001E-2</v>
      </c>
      <c r="G220" s="10">
        <v>3.1885441527446302E-2</v>
      </c>
    </row>
    <row r="221" spans="1:7">
      <c r="A221" s="11" t="str">
        <f t="shared" si="3"/>
        <v>EUR_HE12.3.1</v>
      </c>
      <c r="B221" s="8" t="s">
        <v>244</v>
      </c>
      <c r="D221" s="11" t="s">
        <v>898</v>
      </c>
      <c r="E221" s="11">
        <v>26</v>
      </c>
      <c r="F221" s="11">
        <v>4.8000000000000001E-2</v>
      </c>
      <c r="G221" s="10">
        <v>1.9384330517301238E-2</v>
      </c>
    </row>
    <row r="222" spans="1:7">
      <c r="A222" s="11" t="str">
        <f t="shared" si="3"/>
        <v>EUR_HE12.3.1</v>
      </c>
      <c r="B222" s="8" t="s">
        <v>244</v>
      </c>
      <c r="D222" s="11" t="s">
        <v>898</v>
      </c>
      <c r="E222" s="11">
        <v>32</v>
      </c>
      <c r="F222" s="11">
        <v>0.85599999999999998</v>
      </c>
      <c r="G222" s="10">
        <v>0.23245478435616015</v>
      </c>
    </row>
    <row r="223" spans="1:7">
      <c r="A223" s="11" t="str">
        <f t="shared" si="3"/>
        <v>EUR_HE12.3.1</v>
      </c>
      <c r="B223" s="8" t="s">
        <v>244</v>
      </c>
      <c r="D223" s="11" t="s">
        <v>898</v>
      </c>
      <c r="E223" s="11">
        <v>95</v>
      </c>
      <c r="F223" s="11">
        <v>4.9000000000000002E-2</v>
      </c>
      <c r="G223" s="10">
        <v>0.31767955801104975</v>
      </c>
    </row>
    <row r="224" spans="1:7">
      <c r="A224" s="11" t="str">
        <f t="shared" si="3"/>
        <v>EUR_HE12.3.2</v>
      </c>
      <c r="B224" s="8" t="s">
        <v>245</v>
      </c>
      <c r="D224" s="11" t="s">
        <v>899</v>
      </c>
      <c r="E224" s="11">
        <v>8</v>
      </c>
      <c r="F224" s="11">
        <v>0.01</v>
      </c>
      <c r="G224" s="10">
        <v>0.58333333333333337</v>
      </c>
    </row>
    <row r="225" spans="1:7">
      <c r="A225" s="11" t="str">
        <f t="shared" si="3"/>
        <v>EUR_HE12.3.2</v>
      </c>
      <c r="B225" s="8" t="s">
        <v>245</v>
      </c>
      <c r="D225" s="11" t="s">
        <v>899</v>
      </c>
      <c r="E225" s="11">
        <v>15</v>
      </c>
      <c r="F225" s="11">
        <v>0.2</v>
      </c>
      <c r="G225" s="10">
        <v>8.1050119331742249E-2</v>
      </c>
    </row>
    <row r="226" spans="1:7">
      <c r="A226" s="11" t="str">
        <f t="shared" si="3"/>
        <v>EUR_HE12.3.2</v>
      </c>
      <c r="B226" s="8" t="s">
        <v>245</v>
      </c>
      <c r="D226" s="11" t="s">
        <v>899</v>
      </c>
      <c r="E226" s="11">
        <v>16</v>
      </c>
      <c r="F226" s="11">
        <v>0.13</v>
      </c>
      <c r="G226" s="10">
        <v>0.56154628687690744</v>
      </c>
    </row>
    <row r="227" spans="1:7">
      <c r="A227" s="11" t="str">
        <f t="shared" si="3"/>
        <v>EUR_HE12.3.2</v>
      </c>
      <c r="B227" s="8" t="s">
        <v>245</v>
      </c>
      <c r="D227" s="11" t="s">
        <v>899</v>
      </c>
      <c r="E227" s="11" t="s">
        <v>818</v>
      </c>
      <c r="F227" s="11">
        <v>0.02</v>
      </c>
      <c r="G227" s="10">
        <v>2.6179604261796042E-2</v>
      </c>
    </row>
    <row r="228" spans="1:7">
      <c r="A228" s="11" t="str">
        <f t="shared" si="3"/>
        <v>EUR_HE12.3.2</v>
      </c>
      <c r="B228" s="8" t="s">
        <v>245</v>
      </c>
      <c r="D228" s="11" t="s">
        <v>899</v>
      </c>
      <c r="E228" s="11" t="s">
        <v>821</v>
      </c>
      <c r="F228" s="11">
        <v>0.14000000000000001</v>
      </c>
      <c r="G228" s="10">
        <v>0.11797307996832937</v>
      </c>
    </row>
    <row r="229" spans="1:7">
      <c r="A229" s="11" t="str">
        <f t="shared" si="3"/>
        <v>EUR_HE12.3.2</v>
      </c>
      <c r="B229" s="8" t="s">
        <v>245</v>
      </c>
      <c r="D229" s="11" t="s">
        <v>899</v>
      </c>
      <c r="E229" s="11">
        <v>26</v>
      </c>
      <c r="F229" s="11">
        <v>0.05</v>
      </c>
      <c r="G229" s="10">
        <v>1.2267098715426455E-2</v>
      </c>
    </row>
    <row r="230" spans="1:7">
      <c r="A230" s="11" t="str">
        <f t="shared" si="3"/>
        <v>EUR_HE12.3.2</v>
      </c>
      <c r="B230" s="8" t="s">
        <v>245</v>
      </c>
      <c r="D230" s="11" t="s">
        <v>899</v>
      </c>
      <c r="E230" s="11">
        <v>31</v>
      </c>
      <c r="F230" s="11">
        <v>0.08</v>
      </c>
      <c r="G230" s="10">
        <v>3.0370901272173446E-2</v>
      </c>
    </row>
    <row r="231" spans="1:7">
      <c r="A231" s="11" t="str">
        <f t="shared" si="3"/>
        <v>EUR_HE12.3.2</v>
      </c>
      <c r="B231" s="8" t="s">
        <v>245</v>
      </c>
      <c r="D231" s="11" t="s">
        <v>899</v>
      </c>
      <c r="E231" s="11">
        <v>32</v>
      </c>
      <c r="F231" s="11">
        <v>0.37</v>
      </c>
      <c r="G231" s="10">
        <v>6.0828567011902923E-2</v>
      </c>
    </row>
    <row r="232" spans="1:7">
      <c r="A232" s="11" t="str">
        <f t="shared" si="3"/>
        <v>EUR_HE12.4</v>
      </c>
      <c r="B232" s="8" t="s">
        <v>84</v>
      </c>
      <c r="D232" s="11">
        <v>12.4</v>
      </c>
      <c r="E232" s="11">
        <v>86</v>
      </c>
      <c r="F232" s="11">
        <v>0.20199999999999999</v>
      </c>
      <c r="G232" s="10">
        <v>0.26377517149811908</v>
      </c>
    </row>
    <row r="233" spans="1:7">
      <c r="A233" s="11" t="str">
        <f t="shared" si="3"/>
        <v>EUR_HE12.4</v>
      </c>
      <c r="B233" s="8" t="s">
        <v>84</v>
      </c>
      <c r="D233" s="11">
        <v>12.4</v>
      </c>
      <c r="E233" s="11">
        <v>87</v>
      </c>
      <c r="F233" s="11">
        <v>0.32500000000000001</v>
      </c>
      <c r="G233" s="10">
        <v>1</v>
      </c>
    </row>
    <row r="234" spans="1:7">
      <c r="A234" s="11" t="str">
        <f t="shared" si="3"/>
        <v>EUR_HE12.4</v>
      </c>
      <c r="B234" s="8" t="s">
        <v>84</v>
      </c>
      <c r="D234" s="11">
        <v>12.4</v>
      </c>
      <c r="E234" s="11">
        <v>88</v>
      </c>
      <c r="F234" s="11">
        <v>0.47299999999999998</v>
      </c>
      <c r="G234" s="10">
        <v>1</v>
      </c>
    </row>
    <row r="235" spans="1:7">
      <c r="A235" s="11" t="str">
        <f t="shared" si="3"/>
        <v>EUR_HE12.5.1</v>
      </c>
      <c r="B235" s="8" t="s">
        <v>900</v>
      </c>
      <c r="D235" s="11" t="s">
        <v>901</v>
      </c>
      <c r="E235" s="11" t="s">
        <v>902</v>
      </c>
      <c r="F235" s="11">
        <v>1</v>
      </c>
      <c r="G235" s="10">
        <v>0.37944544075044834</v>
      </c>
    </row>
    <row r="236" spans="1:7">
      <c r="A236" s="11" t="str">
        <f t="shared" si="3"/>
        <v>EUR_HE12.5.2</v>
      </c>
      <c r="B236" s="8" t="s">
        <v>247</v>
      </c>
      <c r="D236" s="11" t="s">
        <v>903</v>
      </c>
      <c r="E236" s="11" t="s">
        <v>902</v>
      </c>
      <c r="F236" s="11">
        <v>1</v>
      </c>
      <c r="G236" s="10">
        <v>0.10680093806042212</v>
      </c>
    </row>
    <row r="237" spans="1:7">
      <c r="A237" s="11" t="str">
        <f t="shared" si="3"/>
        <v>EUR_HE12.5.3</v>
      </c>
      <c r="B237" s="8" t="s">
        <v>248</v>
      </c>
      <c r="D237" s="11" t="s">
        <v>904</v>
      </c>
      <c r="E237" s="11" t="s">
        <v>902</v>
      </c>
      <c r="F237" s="11">
        <v>1</v>
      </c>
      <c r="G237" s="10">
        <v>4.5937370671816802E-2</v>
      </c>
    </row>
    <row r="238" spans="1:7">
      <c r="A238" s="11" t="str">
        <f t="shared" si="3"/>
        <v>EUR_HE12.5.4</v>
      </c>
      <c r="B238" s="8" t="s">
        <v>249</v>
      </c>
      <c r="D238" s="11" t="s">
        <v>905</v>
      </c>
      <c r="E238" s="11" t="s">
        <v>902</v>
      </c>
      <c r="F238" s="11">
        <v>1</v>
      </c>
      <c r="G238" s="10">
        <v>7.8245275210373846E-2</v>
      </c>
    </row>
    <row r="239" spans="1:7">
      <c r="A239" s="11" t="str">
        <f t="shared" si="3"/>
        <v>EUR_HE12.5.5</v>
      </c>
      <c r="B239" s="8" t="s">
        <v>250</v>
      </c>
      <c r="D239" s="11" t="s">
        <v>906</v>
      </c>
      <c r="E239" s="11" t="s">
        <v>902</v>
      </c>
      <c r="F239" s="11">
        <v>1</v>
      </c>
      <c r="G239" s="10">
        <v>0</v>
      </c>
    </row>
    <row r="240" spans="1:7">
      <c r="A240" s="11" t="str">
        <f t="shared" si="3"/>
        <v>EUR_HE12.6.1</v>
      </c>
      <c r="B240" s="8" t="s">
        <v>907</v>
      </c>
      <c r="D240" s="11" t="s">
        <v>908</v>
      </c>
      <c r="E240" s="11">
        <v>64</v>
      </c>
      <c r="F240" s="11">
        <v>1</v>
      </c>
      <c r="G240" s="10">
        <v>0.63011894647408662</v>
      </c>
    </row>
    <row r="241" spans="1:7">
      <c r="A241" s="11" t="str">
        <f t="shared" si="3"/>
        <v>EUR_HE12.6.2</v>
      </c>
      <c r="B241" s="8" t="s">
        <v>251</v>
      </c>
      <c r="D241" s="11" t="s">
        <v>909</v>
      </c>
      <c r="E241" s="11">
        <v>64</v>
      </c>
      <c r="F241" s="11">
        <v>0.33899999999999997</v>
      </c>
      <c r="G241" s="10">
        <v>0.36988105352591333</v>
      </c>
    </row>
    <row r="242" spans="1:7">
      <c r="A242" s="11" t="str">
        <f t="shared" si="3"/>
        <v>EUR_HE12.6.2</v>
      </c>
      <c r="B242" s="8" t="s">
        <v>251</v>
      </c>
      <c r="D242" s="11" t="s">
        <v>909</v>
      </c>
      <c r="E242" s="11" t="s">
        <v>902</v>
      </c>
      <c r="F242" s="11">
        <v>0.55000000000000004</v>
      </c>
      <c r="G242" s="10">
        <v>0.3895709753069389</v>
      </c>
    </row>
    <row r="243" spans="1:7">
      <c r="A243" s="11" t="str">
        <f t="shared" si="3"/>
        <v>EUR_HE12.6.2</v>
      </c>
      <c r="B243" s="8" t="s">
        <v>251</v>
      </c>
      <c r="D243" s="11" t="s">
        <v>909</v>
      </c>
      <c r="E243" s="11">
        <v>66</v>
      </c>
      <c r="F243" s="11">
        <v>0.11</v>
      </c>
      <c r="G243" s="10">
        <v>1</v>
      </c>
    </row>
    <row r="244" spans="1:7">
      <c r="A244" s="11" t="str">
        <f t="shared" si="3"/>
        <v>EUR_HE12.7</v>
      </c>
      <c r="B244" s="8" t="s">
        <v>87</v>
      </c>
      <c r="D244" s="11">
        <v>12.7</v>
      </c>
      <c r="E244" s="11">
        <v>68.3</v>
      </c>
      <c r="F244" s="11">
        <v>6.9999999999999993E-3</v>
      </c>
      <c r="G244" s="10">
        <v>1</v>
      </c>
    </row>
    <row r="245" spans="1:7">
      <c r="A245" s="11" t="str">
        <f t="shared" si="3"/>
        <v>EUR_HE12.7</v>
      </c>
      <c r="B245" s="8" t="s">
        <v>87</v>
      </c>
      <c r="D245" s="11">
        <v>12.7</v>
      </c>
      <c r="E245" s="11">
        <v>69.099999999999994</v>
      </c>
      <c r="F245" s="11">
        <v>7.0000000000000007E-2</v>
      </c>
      <c r="G245" s="10">
        <v>1</v>
      </c>
    </row>
    <row r="246" spans="1:7">
      <c r="A246" s="11" t="str">
        <f t="shared" si="3"/>
        <v>EUR_HE12.7</v>
      </c>
      <c r="B246" s="8" t="s">
        <v>87</v>
      </c>
      <c r="D246" s="11">
        <v>12.7</v>
      </c>
      <c r="E246" s="11">
        <v>69.2</v>
      </c>
      <c r="F246" s="11">
        <v>6.0000000000000001E-3</v>
      </c>
      <c r="G246" s="10">
        <v>1</v>
      </c>
    </row>
    <row r="247" spans="1:7">
      <c r="A247" s="11" t="str">
        <f t="shared" si="3"/>
        <v>EUR_HE12.7</v>
      </c>
      <c r="B247" s="8" t="s">
        <v>87</v>
      </c>
      <c r="D247" s="11">
        <v>12.7</v>
      </c>
      <c r="E247" s="11">
        <v>71</v>
      </c>
      <c r="F247" s="11">
        <v>6.9999999999999993E-3</v>
      </c>
      <c r="G247" s="10">
        <v>0.10779816513761468</v>
      </c>
    </row>
    <row r="248" spans="1:7">
      <c r="A248" s="11" t="str">
        <f t="shared" si="3"/>
        <v>EUR_HE12.7</v>
      </c>
      <c r="B248" s="8" t="s">
        <v>87</v>
      </c>
      <c r="D248" s="11">
        <v>12.7</v>
      </c>
      <c r="E248" s="11">
        <v>73</v>
      </c>
      <c r="F248" s="11">
        <v>1.9E-2</v>
      </c>
      <c r="G248" s="10">
        <v>1</v>
      </c>
    </row>
    <row r="249" spans="1:7">
      <c r="A249" s="11" t="str">
        <f t="shared" si="3"/>
        <v>EUR_HE12.7</v>
      </c>
      <c r="B249" s="8" t="s">
        <v>87</v>
      </c>
      <c r="D249" s="11">
        <v>12.7</v>
      </c>
      <c r="E249" s="11">
        <v>78</v>
      </c>
      <c r="F249" s="11">
        <v>6.0000000000000001E-3</v>
      </c>
      <c r="G249" s="10">
        <v>1</v>
      </c>
    </row>
    <row r="250" spans="1:7">
      <c r="A250" s="11" t="str">
        <f t="shared" si="3"/>
        <v>EUR_HE12.7</v>
      </c>
      <c r="B250" s="8" t="s">
        <v>87</v>
      </c>
      <c r="D250" s="11">
        <v>12.7</v>
      </c>
      <c r="E250" s="11">
        <v>80</v>
      </c>
      <c r="F250" s="11">
        <v>6.9999999999999993E-3</v>
      </c>
      <c r="G250" s="10">
        <v>1</v>
      </c>
    </row>
    <row r="251" spans="1:7">
      <c r="A251" s="11" t="str">
        <f t="shared" si="3"/>
        <v>EUR_HE12.7</v>
      </c>
      <c r="B251" s="8" t="s">
        <v>87</v>
      </c>
      <c r="D251" s="11">
        <v>12.7</v>
      </c>
      <c r="E251" s="11">
        <v>82</v>
      </c>
      <c r="F251" s="11">
        <v>2.6000000000000002E-2</v>
      </c>
      <c r="G251" s="10">
        <v>0.82666666666666666</v>
      </c>
    </row>
    <row r="252" spans="1:7">
      <c r="A252" s="11" t="str">
        <f t="shared" si="3"/>
        <v>EUR_HE12.7</v>
      </c>
      <c r="B252" s="8" t="s">
        <v>87</v>
      </c>
      <c r="D252" s="11">
        <v>12.7</v>
      </c>
      <c r="E252" s="11">
        <v>84</v>
      </c>
      <c r="F252" s="11">
        <v>6.4000000000000001E-2</v>
      </c>
      <c r="G252" s="10">
        <v>0.17148217636022514</v>
      </c>
    </row>
    <row r="253" spans="1:7">
      <c r="A253" s="11" t="str">
        <f t="shared" si="3"/>
        <v>EUR_HE12.7</v>
      </c>
      <c r="B253" s="8" t="s">
        <v>87</v>
      </c>
      <c r="D253" s="11">
        <v>12.7</v>
      </c>
      <c r="E253" s="11">
        <v>85</v>
      </c>
      <c r="F253" s="11">
        <v>6.9999999999999993E-3</v>
      </c>
      <c r="G253" s="10">
        <v>2.8529804540488044E-3</v>
      </c>
    </row>
    <row r="254" spans="1:7">
      <c r="A254" s="11" t="str">
        <f t="shared" si="3"/>
        <v>EUR_HE12.7</v>
      </c>
      <c r="B254" s="8" t="s">
        <v>87</v>
      </c>
      <c r="D254" s="11">
        <v>12.7</v>
      </c>
      <c r="E254" s="11">
        <v>94</v>
      </c>
      <c r="F254" s="11">
        <v>9.6000000000000002E-2</v>
      </c>
      <c r="G254" s="10">
        <v>0.55906148867313921</v>
      </c>
    </row>
    <row r="255" spans="1:7">
      <c r="A255" s="11" t="str">
        <f t="shared" si="3"/>
        <v>EUR_HE12.7</v>
      </c>
      <c r="B255" s="8" t="s">
        <v>87</v>
      </c>
      <c r="D255" s="11">
        <v>12.7</v>
      </c>
      <c r="E255" s="11">
        <v>96</v>
      </c>
      <c r="F255" s="11">
        <v>0.68700000000000006</v>
      </c>
      <c r="G255" s="10">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36"/>
  <sheetViews>
    <sheetView topLeftCell="A109" workbookViewId="0">
      <selection activeCell="B8" sqref="B8:B236"/>
    </sheetView>
  </sheetViews>
  <sheetFormatPr defaultColWidth="8.85546875" defaultRowHeight="13.15"/>
  <cols>
    <col min="1" max="2" width="17.7109375" style="23" customWidth="1"/>
    <col min="3" max="3" width="6.7109375" style="23" customWidth="1"/>
    <col min="4" max="4" width="13.42578125" style="23" customWidth="1"/>
    <col min="5" max="5" width="8.42578125" style="23" customWidth="1"/>
    <col min="6" max="7" width="16.7109375" style="23" customWidth="1"/>
    <col min="8" max="10" width="42" style="23" customWidth="1"/>
    <col min="11" max="11" width="16.7109375" style="23" customWidth="1"/>
    <col min="12" max="12" width="1.7109375" style="23" customWidth="1"/>
    <col min="13" max="16384" width="8.85546875" style="23"/>
  </cols>
  <sheetData>
    <row r="1" spans="1:12" ht="10.9" customHeight="1">
      <c r="A1" s="24"/>
      <c r="B1" s="24"/>
      <c r="C1" s="49" t="s">
        <v>910</v>
      </c>
      <c r="D1" s="49"/>
      <c r="E1" s="49"/>
      <c r="F1" s="50" t="s">
        <v>911</v>
      </c>
      <c r="G1" s="50"/>
      <c r="H1" s="50"/>
      <c r="I1" s="50"/>
      <c r="J1" s="50"/>
      <c r="K1" s="50"/>
      <c r="L1" s="24"/>
    </row>
    <row r="2" spans="1:12" ht="10.9" customHeight="1">
      <c r="A2" s="24"/>
      <c r="B2" s="24"/>
      <c r="C2" s="49"/>
      <c r="D2" s="49"/>
      <c r="E2" s="49"/>
      <c r="F2" s="50" t="s">
        <v>912</v>
      </c>
      <c r="G2" s="50"/>
      <c r="H2" s="50"/>
      <c r="I2" s="50"/>
      <c r="J2" s="50"/>
      <c r="K2" s="50"/>
      <c r="L2" s="24"/>
    </row>
    <row r="3" spans="1:12" ht="10.9" customHeight="1">
      <c r="A3" s="24"/>
      <c r="B3" s="24"/>
      <c r="C3" s="49" t="s">
        <v>913</v>
      </c>
      <c r="D3" s="49"/>
      <c r="E3" s="49"/>
      <c r="F3" s="50" t="s">
        <v>785</v>
      </c>
      <c r="G3" s="50"/>
      <c r="H3" s="50"/>
      <c r="I3" s="50"/>
      <c r="J3" s="50"/>
      <c r="K3" s="50"/>
      <c r="L3" s="24"/>
    </row>
    <row r="4" spans="1:12" ht="21" customHeight="1">
      <c r="A4" s="24"/>
      <c r="B4" s="24"/>
      <c r="C4" s="49" t="s">
        <v>914</v>
      </c>
      <c r="D4" s="49"/>
      <c r="E4" s="49"/>
      <c r="F4" s="50" t="s">
        <v>915</v>
      </c>
      <c r="G4" s="50"/>
      <c r="H4" s="50"/>
      <c r="I4" s="50"/>
      <c r="J4" s="50"/>
      <c r="K4" s="50"/>
      <c r="L4" s="24"/>
    </row>
    <row r="5" spans="1:12" ht="10.9" customHeight="1">
      <c r="A5" s="24"/>
      <c r="B5" s="24"/>
      <c r="C5" s="49" t="s">
        <v>916</v>
      </c>
      <c r="D5" s="49"/>
      <c r="E5" s="49"/>
      <c r="F5" s="50" t="s">
        <v>917</v>
      </c>
      <c r="G5" s="50"/>
      <c r="H5" s="50"/>
      <c r="I5" s="50"/>
      <c r="J5" s="50"/>
      <c r="K5" s="50"/>
      <c r="L5" s="24"/>
    </row>
    <row r="6" spans="1:12" ht="15" customHeight="1">
      <c r="A6" s="24"/>
      <c r="B6" s="24"/>
      <c r="C6" s="24"/>
      <c r="D6" s="24"/>
      <c r="E6" s="24"/>
      <c r="F6" s="24"/>
      <c r="G6" s="24"/>
      <c r="H6" s="24"/>
      <c r="I6" s="24"/>
      <c r="J6" s="24"/>
      <c r="K6" s="24"/>
      <c r="L6" s="24"/>
    </row>
    <row r="7" spans="1:12" ht="25.15" customHeight="1">
      <c r="A7" s="24"/>
      <c r="B7" s="24"/>
      <c r="C7" s="26" t="s">
        <v>918</v>
      </c>
      <c r="D7" s="26" t="s">
        <v>919</v>
      </c>
      <c r="E7" s="26" t="s">
        <v>920</v>
      </c>
      <c r="F7" s="26" t="s">
        <v>921</v>
      </c>
      <c r="G7" s="26" t="s">
        <v>922</v>
      </c>
      <c r="H7" s="26" t="s">
        <v>923</v>
      </c>
      <c r="I7" s="26" t="s">
        <v>924</v>
      </c>
      <c r="J7" s="26" t="s">
        <v>925</v>
      </c>
      <c r="K7" s="26" t="s">
        <v>926</v>
      </c>
      <c r="L7" s="24"/>
    </row>
    <row r="8" spans="1:12" ht="15" customHeight="1">
      <c r="A8" s="24" t="str">
        <f>+"EUR_HE"&amp;D8</f>
        <v>EUR_HE01.</v>
      </c>
      <c r="B8" s="24" t="s">
        <v>18</v>
      </c>
      <c r="C8" s="25" t="s">
        <v>927</v>
      </c>
      <c r="D8" s="25" t="s">
        <v>928</v>
      </c>
      <c r="E8" s="25" t="s">
        <v>927</v>
      </c>
      <c r="F8" s="25" t="s">
        <v>929</v>
      </c>
      <c r="G8" s="25" t="s">
        <v>930</v>
      </c>
      <c r="H8" s="25" t="s">
        <v>931</v>
      </c>
      <c r="I8" s="25" t="s">
        <v>932</v>
      </c>
      <c r="J8" s="25" t="s">
        <v>933</v>
      </c>
      <c r="K8" s="25" t="s">
        <v>933</v>
      </c>
      <c r="L8" s="24"/>
    </row>
    <row r="9" spans="1:12" ht="259.14999999999998" customHeight="1">
      <c r="A9" s="24" t="str">
        <f t="shared" ref="A9:A72" si="0">+"EUR_HE"&amp;D9</f>
        <v>EUR_HE01.1</v>
      </c>
      <c r="B9" s="24" t="s">
        <v>29</v>
      </c>
      <c r="C9" s="25" t="s">
        <v>934</v>
      </c>
      <c r="D9" s="25" t="s">
        <v>935</v>
      </c>
      <c r="E9" s="25" t="s">
        <v>934</v>
      </c>
      <c r="F9" s="25" t="s">
        <v>936</v>
      </c>
      <c r="G9" s="25" t="s">
        <v>937</v>
      </c>
      <c r="H9" s="25" t="s">
        <v>938</v>
      </c>
      <c r="I9" s="25" t="s">
        <v>939</v>
      </c>
      <c r="J9" s="25" t="s">
        <v>940</v>
      </c>
      <c r="K9" s="25" t="s">
        <v>941</v>
      </c>
      <c r="L9" s="24"/>
    </row>
    <row r="10" spans="1:12" ht="312" customHeight="1">
      <c r="A10" s="24" t="str">
        <f t="shared" si="0"/>
        <v>EUR_HE01.1.1</v>
      </c>
      <c r="B10" s="24" t="s">
        <v>69</v>
      </c>
      <c r="C10" s="25" t="s">
        <v>942</v>
      </c>
      <c r="D10" s="25" t="s">
        <v>787</v>
      </c>
      <c r="E10" s="25" t="s">
        <v>942</v>
      </c>
      <c r="F10" s="25" t="s">
        <v>943</v>
      </c>
      <c r="G10" s="25" t="s">
        <v>944</v>
      </c>
      <c r="H10" s="25" t="s">
        <v>945</v>
      </c>
      <c r="I10" s="25" t="s">
        <v>946</v>
      </c>
      <c r="J10" s="25" t="s">
        <v>947</v>
      </c>
      <c r="K10" s="25" t="s">
        <v>948</v>
      </c>
      <c r="L10" s="24"/>
    </row>
    <row r="11" spans="1:12" ht="376.15" customHeight="1">
      <c r="A11" s="24" t="str">
        <f t="shared" si="0"/>
        <v>EUR_HE01.1.2</v>
      </c>
      <c r="B11" s="24" t="s">
        <v>71</v>
      </c>
      <c r="C11" s="25" t="s">
        <v>949</v>
      </c>
      <c r="D11" s="25" t="s">
        <v>788</v>
      </c>
      <c r="E11" s="25" t="s">
        <v>942</v>
      </c>
      <c r="F11" s="25" t="s">
        <v>943</v>
      </c>
      <c r="G11" s="25" t="s">
        <v>944</v>
      </c>
      <c r="H11" s="25" t="s">
        <v>950</v>
      </c>
      <c r="I11" s="25" t="s">
        <v>951</v>
      </c>
      <c r="J11" s="25" t="s">
        <v>952</v>
      </c>
      <c r="K11" s="25" t="s">
        <v>953</v>
      </c>
      <c r="L11" s="24"/>
    </row>
    <row r="12" spans="1:12" ht="226.9" customHeight="1">
      <c r="A12" s="24" t="str">
        <f t="shared" si="0"/>
        <v>EUR_HE01.1.3</v>
      </c>
      <c r="B12" s="24" t="s">
        <v>72</v>
      </c>
      <c r="C12" s="25" t="s">
        <v>954</v>
      </c>
      <c r="D12" s="25" t="s">
        <v>789</v>
      </c>
      <c r="E12" s="25" t="s">
        <v>942</v>
      </c>
      <c r="F12" s="25" t="s">
        <v>943</v>
      </c>
      <c r="G12" s="25" t="s">
        <v>944</v>
      </c>
      <c r="H12" s="25" t="s">
        <v>955</v>
      </c>
      <c r="I12" s="25" t="s">
        <v>956</v>
      </c>
      <c r="J12" s="25" t="s">
        <v>957</v>
      </c>
      <c r="K12" s="25" t="s">
        <v>958</v>
      </c>
      <c r="L12" s="24"/>
    </row>
    <row r="13" spans="1:12" ht="205.9" customHeight="1">
      <c r="A13" s="24" t="str">
        <f t="shared" si="0"/>
        <v>EUR_HE01.1.4</v>
      </c>
      <c r="B13" s="24" t="s">
        <v>73</v>
      </c>
      <c r="C13" s="25" t="s">
        <v>959</v>
      </c>
      <c r="D13" s="25" t="s">
        <v>791</v>
      </c>
      <c r="E13" s="25" t="s">
        <v>942</v>
      </c>
      <c r="F13" s="25" t="s">
        <v>943</v>
      </c>
      <c r="G13" s="25" t="s">
        <v>944</v>
      </c>
      <c r="H13" s="25" t="s">
        <v>960</v>
      </c>
      <c r="I13" s="25" t="s">
        <v>961</v>
      </c>
      <c r="J13" s="25" t="s">
        <v>962</v>
      </c>
      <c r="K13" s="25" t="s">
        <v>963</v>
      </c>
      <c r="L13" s="24"/>
    </row>
    <row r="14" spans="1:12" ht="151.9" customHeight="1">
      <c r="A14" s="24" t="str">
        <f t="shared" si="0"/>
        <v>EUR_HE01.1.5</v>
      </c>
      <c r="B14" s="24" t="s">
        <v>74</v>
      </c>
      <c r="C14" s="25" t="s">
        <v>964</v>
      </c>
      <c r="D14" s="25" t="s">
        <v>792</v>
      </c>
      <c r="E14" s="25" t="s">
        <v>942</v>
      </c>
      <c r="F14" s="25" t="s">
        <v>943</v>
      </c>
      <c r="G14" s="25" t="s">
        <v>944</v>
      </c>
      <c r="H14" s="25" t="s">
        <v>965</v>
      </c>
      <c r="I14" s="25" t="s">
        <v>966</v>
      </c>
      <c r="J14" s="25" t="s">
        <v>967</v>
      </c>
      <c r="K14" s="25" t="s">
        <v>968</v>
      </c>
      <c r="L14" s="24"/>
    </row>
    <row r="15" spans="1:12" ht="184.15" customHeight="1">
      <c r="A15" s="24" t="str">
        <f t="shared" si="0"/>
        <v>EUR_HE01.1.6</v>
      </c>
      <c r="B15" s="24" t="s">
        <v>75</v>
      </c>
      <c r="C15" s="25" t="s">
        <v>969</v>
      </c>
      <c r="D15" s="25" t="s">
        <v>793</v>
      </c>
      <c r="E15" s="25" t="s">
        <v>942</v>
      </c>
      <c r="F15" s="25" t="s">
        <v>943</v>
      </c>
      <c r="G15" s="25" t="s">
        <v>944</v>
      </c>
      <c r="H15" s="25" t="s">
        <v>970</v>
      </c>
      <c r="I15" s="25" t="s">
        <v>971</v>
      </c>
      <c r="J15" s="25" t="s">
        <v>972</v>
      </c>
      <c r="K15" s="25" t="s">
        <v>973</v>
      </c>
      <c r="L15" s="24"/>
    </row>
    <row r="16" spans="1:12" ht="409.6" customHeight="1">
      <c r="A16" s="24" t="str">
        <f t="shared" si="0"/>
        <v>EUR_HE01.1.7</v>
      </c>
      <c r="B16" s="24" t="s">
        <v>76</v>
      </c>
      <c r="C16" s="25" t="s">
        <v>974</v>
      </c>
      <c r="D16" s="25" t="s">
        <v>794</v>
      </c>
      <c r="E16" s="25" t="s">
        <v>942</v>
      </c>
      <c r="F16" s="25" t="s">
        <v>943</v>
      </c>
      <c r="G16" s="25" t="s">
        <v>944</v>
      </c>
      <c r="H16" s="25" t="s">
        <v>975</v>
      </c>
      <c r="I16" s="25" t="s">
        <v>976</v>
      </c>
      <c r="J16" s="25" t="s">
        <v>977</v>
      </c>
      <c r="K16" s="25" t="s">
        <v>978</v>
      </c>
      <c r="L16" s="24"/>
    </row>
    <row r="17" spans="1:12" ht="238.15" customHeight="1">
      <c r="A17" s="24" t="str">
        <f t="shared" si="0"/>
        <v>EUR_HE01.1.8</v>
      </c>
      <c r="B17" s="24" t="s">
        <v>77</v>
      </c>
      <c r="C17" s="25" t="s">
        <v>979</v>
      </c>
      <c r="D17" s="25" t="s">
        <v>795</v>
      </c>
      <c r="E17" s="25" t="s">
        <v>942</v>
      </c>
      <c r="F17" s="25" t="s">
        <v>943</v>
      </c>
      <c r="G17" s="25" t="s">
        <v>944</v>
      </c>
      <c r="H17" s="25" t="s">
        <v>980</v>
      </c>
      <c r="I17" s="25" t="s">
        <v>981</v>
      </c>
      <c r="J17" s="25" t="s">
        <v>982</v>
      </c>
      <c r="K17" s="25" t="s">
        <v>983</v>
      </c>
      <c r="L17" s="24"/>
    </row>
    <row r="18" spans="1:12" ht="247.9" customHeight="1">
      <c r="A18" s="24" t="str">
        <f t="shared" si="0"/>
        <v>EUR_HE01.1.9</v>
      </c>
      <c r="B18" s="24" t="s">
        <v>78</v>
      </c>
      <c r="C18" s="25" t="s">
        <v>984</v>
      </c>
      <c r="D18" s="25" t="s">
        <v>796</v>
      </c>
      <c r="E18" s="25" t="s">
        <v>942</v>
      </c>
      <c r="F18" s="25" t="s">
        <v>943</v>
      </c>
      <c r="G18" s="25" t="s">
        <v>944</v>
      </c>
      <c r="H18" s="25" t="s">
        <v>985</v>
      </c>
      <c r="I18" s="25" t="s">
        <v>986</v>
      </c>
      <c r="J18" s="25" t="s">
        <v>987</v>
      </c>
      <c r="K18" s="25" t="s">
        <v>988</v>
      </c>
      <c r="L18" s="24"/>
    </row>
    <row r="19" spans="1:12" ht="142.15" customHeight="1">
      <c r="A19" s="24" t="str">
        <f t="shared" si="0"/>
        <v>EUR_HE01.2</v>
      </c>
      <c r="B19" s="24" t="s">
        <v>31</v>
      </c>
      <c r="C19" s="25" t="s">
        <v>989</v>
      </c>
      <c r="D19" s="25" t="s">
        <v>990</v>
      </c>
      <c r="E19" s="25" t="s">
        <v>934</v>
      </c>
      <c r="F19" s="25" t="s">
        <v>936</v>
      </c>
      <c r="G19" s="25" t="s">
        <v>937</v>
      </c>
      <c r="H19" s="25" t="s">
        <v>991</v>
      </c>
      <c r="I19" s="25" t="s">
        <v>992</v>
      </c>
      <c r="J19" s="25" t="s">
        <v>993</v>
      </c>
      <c r="K19" s="25" t="s">
        <v>994</v>
      </c>
      <c r="L19" s="24"/>
    </row>
    <row r="20" spans="1:12" ht="184.15" customHeight="1">
      <c r="A20" s="24" t="str">
        <f t="shared" si="0"/>
        <v>EUR_HE01.2.1</v>
      </c>
      <c r="B20" s="24" t="s">
        <v>80</v>
      </c>
      <c r="C20" s="25" t="s">
        <v>995</v>
      </c>
      <c r="D20" s="25" t="s">
        <v>797</v>
      </c>
      <c r="E20" s="25" t="s">
        <v>942</v>
      </c>
      <c r="F20" s="25" t="s">
        <v>943</v>
      </c>
      <c r="G20" s="25" t="s">
        <v>944</v>
      </c>
      <c r="H20" s="25" t="s">
        <v>996</v>
      </c>
      <c r="I20" s="25" t="s">
        <v>997</v>
      </c>
      <c r="J20" s="25" t="s">
        <v>998</v>
      </c>
      <c r="K20" s="25" t="s">
        <v>999</v>
      </c>
      <c r="L20" s="24"/>
    </row>
    <row r="21" spans="1:12" ht="130.9" customHeight="1">
      <c r="A21" s="24" t="str">
        <f t="shared" si="0"/>
        <v>EUR_HE01.2.2</v>
      </c>
      <c r="B21" s="24" t="s">
        <v>82</v>
      </c>
      <c r="C21" s="25" t="s">
        <v>1000</v>
      </c>
      <c r="D21" s="25" t="s">
        <v>798</v>
      </c>
      <c r="E21" s="25" t="s">
        <v>942</v>
      </c>
      <c r="F21" s="25" t="s">
        <v>943</v>
      </c>
      <c r="G21" s="25" t="s">
        <v>944</v>
      </c>
      <c r="H21" s="25" t="s">
        <v>1001</v>
      </c>
      <c r="I21" s="25" t="s">
        <v>1002</v>
      </c>
      <c r="J21" s="25" t="s">
        <v>1003</v>
      </c>
      <c r="K21" s="25" t="s">
        <v>1004</v>
      </c>
      <c r="L21" s="24"/>
    </row>
    <row r="22" spans="1:12" ht="15" customHeight="1">
      <c r="A22" s="24" t="str">
        <f t="shared" si="0"/>
        <v>EUR_HE02.</v>
      </c>
      <c r="B22" s="24" t="s">
        <v>19</v>
      </c>
      <c r="C22" s="25" t="s">
        <v>1005</v>
      </c>
      <c r="D22" s="25" t="s">
        <v>1006</v>
      </c>
      <c r="E22" s="25" t="s">
        <v>927</v>
      </c>
      <c r="F22" s="25" t="s">
        <v>929</v>
      </c>
      <c r="G22" s="25" t="s">
        <v>930</v>
      </c>
      <c r="H22" s="25" t="s">
        <v>1007</v>
      </c>
      <c r="I22" s="25" t="s">
        <v>1008</v>
      </c>
      <c r="J22" s="25" t="s">
        <v>933</v>
      </c>
      <c r="K22" s="25" t="s">
        <v>933</v>
      </c>
      <c r="L22" s="24"/>
    </row>
    <row r="23" spans="1:12" ht="195" customHeight="1">
      <c r="A23" s="24" t="str">
        <f t="shared" si="0"/>
        <v>EUR_HE02.1</v>
      </c>
      <c r="B23" s="24" t="s">
        <v>32</v>
      </c>
      <c r="C23" s="25" t="s">
        <v>1009</v>
      </c>
      <c r="D23" s="25" t="s">
        <v>1010</v>
      </c>
      <c r="E23" s="25" t="s">
        <v>934</v>
      </c>
      <c r="F23" s="25" t="s">
        <v>936</v>
      </c>
      <c r="G23" s="25" t="s">
        <v>937</v>
      </c>
      <c r="H23" s="25" t="s">
        <v>1011</v>
      </c>
      <c r="I23" s="25" t="s">
        <v>1012</v>
      </c>
      <c r="J23" s="25" t="s">
        <v>1013</v>
      </c>
      <c r="K23" s="25" t="s">
        <v>1014</v>
      </c>
      <c r="L23" s="24"/>
    </row>
    <row r="24" spans="1:12" ht="57" customHeight="1">
      <c r="A24" s="24" t="str">
        <f t="shared" si="0"/>
        <v>EUR_HE02.1.1</v>
      </c>
      <c r="B24" s="24" t="s">
        <v>88</v>
      </c>
      <c r="C24" s="25" t="s">
        <v>1015</v>
      </c>
      <c r="D24" s="25" t="s">
        <v>799</v>
      </c>
      <c r="E24" s="25" t="s">
        <v>942</v>
      </c>
      <c r="F24" s="25" t="s">
        <v>943</v>
      </c>
      <c r="G24" s="25" t="s">
        <v>944</v>
      </c>
      <c r="H24" s="25" t="s">
        <v>1016</v>
      </c>
      <c r="I24" s="25" t="s">
        <v>1017</v>
      </c>
      <c r="J24" s="25" t="s">
        <v>1018</v>
      </c>
      <c r="K24" s="25" t="s">
        <v>1019</v>
      </c>
      <c r="L24" s="24"/>
    </row>
    <row r="25" spans="1:12" ht="57" customHeight="1">
      <c r="A25" s="24" t="str">
        <f t="shared" si="0"/>
        <v>EUR_HE02.1.2</v>
      </c>
      <c r="B25" s="24" t="s">
        <v>89</v>
      </c>
      <c r="C25" s="25" t="s">
        <v>1020</v>
      </c>
      <c r="D25" s="25" t="s">
        <v>801</v>
      </c>
      <c r="E25" s="25" t="s">
        <v>942</v>
      </c>
      <c r="F25" s="25" t="s">
        <v>943</v>
      </c>
      <c r="G25" s="25" t="s">
        <v>944</v>
      </c>
      <c r="H25" s="25" t="s">
        <v>1021</v>
      </c>
      <c r="I25" s="25" t="s">
        <v>1022</v>
      </c>
      <c r="J25" s="25" t="s">
        <v>1023</v>
      </c>
      <c r="K25" s="25" t="s">
        <v>1024</v>
      </c>
      <c r="L25" s="24"/>
    </row>
    <row r="26" spans="1:12" ht="57" customHeight="1">
      <c r="A26" s="24" t="str">
        <f t="shared" si="0"/>
        <v>EUR_HE02.1.3</v>
      </c>
      <c r="B26" s="24" t="s">
        <v>90</v>
      </c>
      <c r="C26" s="25" t="s">
        <v>1025</v>
      </c>
      <c r="D26" s="25" t="s">
        <v>802</v>
      </c>
      <c r="E26" s="25" t="s">
        <v>942</v>
      </c>
      <c r="F26" s="25" t="s">
        <v>943</v>
      </c>
      <c r="G26" s="25" t="s">
        <v>944</v>
      </c>
      <c r="H26" s="25" t="s">
        <v>1026</v>
      </c>
      <c r="I26" s="25" t="s">
        <v>1027</v>
      </c>
      <c r="J26" s="25" t="s">
        <v>1028</v>
      </c>
      <c r="K26" s="25" t="s">
        <v>1029</v>
      </c>
      <c r="L26" s="24"/>
    </row>
    <row r="27" spans="1:12" ht="67.150000000000006" customHeight="1">
      <c r="A27" s="24" t="str">
        <f t="shared" si="0"/>
        <v>EUR_HE02.2</v>
      </c>
      <c r="B27" s="24" t="s">
        <v>33</v>
      </c>
      <c r="C27" s="25" t="s">
        <v>1030</v>
      </c>
      <c r="D27" s="25" t="s">
        <v>1031</v>
      </c>
      <c r="E27" s="25" t="s">
        <v>934</v>
      </c>
      <c r="F27" s="25" t="s">
        <v>936</v>
      </c>
      <c r="G27" s="25" t="s">
        <v>937</v>
      </c>
      <c r="H27" s="25" t="s">
        <v>1032</v>
      </c>
      <c r="I27" s="25" t="s">
        <v>1033</v>
      </c>
      <c r="J27" s="25" t="s">
        <v>1034</v>
      </c>
      <c r="K27" s="25" t="s">
        <v>1035</v>
      </c>
      <c r="L27" s="24"/>
    </row>
    <row r="28" spans="1:12" ht="67.150000000000006" customHeight="1">
      <c r="A28" s="24" t="str">
        <f t="shared" si="0"/>
        <v>EUR_HE02.2.0</v>
      </c>
      <c r="B28" s="24" t="s">
        <v>1036</v>
      </c>
      <c r="C28" s="25" t="s">
        <v>1037</v>
      </c>
      <c r="D28" s="25" t="s">
        <v>1038</v>
      </c>
      <c r="E28" s="25" t="s">
        <v>942</v>
      </c>
      <c r="F28" s="25" t="s">
        <v>943</v>
      </c>
      <c r="G28" s="25" t="s">
        <v>944</v>
      </c>
      <c r="H28" s="25" t="s">
        <v>1039</v>
      </c>
      <c r="I28" s="25" t="s">
        <v>1040</v>
      </c>
      <c r="J28" s="25" t="s">
        <v>1041</v>
      </c>
      <c r="K28" s="25" t="s">
        <v>1042</v>
      </c>
      <c r="L28" s="24"/>
    </row>
    <row r="29" spans="1:12" ht="15" customHeight="1">
      <c r="A29" s="24" t="str">
        <f t="shared" si="0"/>
        <v>EUR_HE02.3</v>
      </c>
      <c r="B29" s="24" t="s">
        <v>34</v>
      </c>
      <c r="C29" s="25" t="s">
        <v>1043</v>
      </c>
      <c r="D29" s="25" t="s">
        <v>1044</v>
      </c>
      <c r="E29" s="25" t="s">
        <v>934</v>
      </c>
      <c r="F29" s="25" t="s">
        <v>936</v>
      </c>
      <c r="G29" s="25" t="s">
        <v>937</v>
      </c>
      <c r="H29" s="25" t="s">
        <v>1045</v>
      </c>
      <c r="I29" s="25" t="s">
        <v>1046</v>
      </c>
      <c r="J29" s="25" t="s">
        <v>933</v>
      </c>
      <c r="K29" s="25" t="s">
        <v>933</v>
      </c>
      <c r="L29" s="24"/>
    </row>
    <row r="30" spans="1:12" ht="99" customHeight="1">
      <c r="A30" s="24" t="str">
        <f t="shared" si="0"/>
        <v>EUR_HE02.3.0</v>
      </c>
      <c r="B30" s="24" t="s">
        <v>1047</v>
      </c>
      <c r="C30" s="25" t="s">
        <v>1048</v>
      </c>
      <c r="D30" s="25" t="s">
        <v>1049</v>
      </c>
      <c r="E30" s="25" t="s">
        <v>942</v>
      </c>
      <c r="F30" s="25" t="s">
        <v>943</v>
      </c>
      <c r="G30" s="25" t="s">
        <v>944</v>
      </c>
      <c r="H30" s="25" t="s">
        <v>1050</v>
      </c>
      <c r="I30" s="25" t="s">
        <v>1051</v>
      </c>
      <c r="J30" s="25" t="s">
        <v>1052</v>
      </c>
      <c r="K30" s="25" t="s">
        <v>1053</v>
      </c>
      <c r="L30" s="24"/>
    </row>
    <row r="31" spans="1:12" ht="15" customHeight="1">
      <c r="A31" s="24" t="str">
        <f t="shared" si="0"/>
        <v>EUR_HE03.</v>
      </c>
      <c r="B31" s="24" t="s">
        <v>20</v>
      </c>
      <c r="C31" s="25" t="s">
        <v>1054</v>
      </c>
      <c r="D31" s="25" t="s">
        <v>1055</v>
      </c>
      <c r="E31" s="25" t="s">
        <v>927</v>
      </c>
      <c r="F31" s="25" t="s">
        <v>929</v>
      </c>
      <c r="G31" s="25" t="s">
        <v>930</v>
      </c>
      <c r="H31" s="25" t="s">
        <v>1056</v>
      </c>
      <c r="I31" s="25" t="s">
        <v>1057</v>
      </c>
      <c r="J31" s="25" t="s">
        <v>933</v>
      </c>
      <c r="K31" s="25" t="s">
        <v>933</v>
      </c>
      <c r="L31" s="24"/>
    </row>
    <row r="32" spans="1:12" ht="15" customHeight="1">
      <c r="A32" s="24" t="str">
        <f t="shared" si="0"/>
        <v>EUR_HE03.1</v>
      </c>
      <c r="B32" s="24" t="s">
        <v>35</v>
      </c>
      <c r="C32" s="25" t="s">
        <v>1058</v>
      </c>
      <c r="D32" s="25" t="s">
        <v>1059</v>
      </c>
      <c r="E32" s="25" t="s">
        <v>934</v>
      </c>
      <c r="F32" s="25" t="s">
        <v>936</v>
      </c>
      <c r="G32" s="25" t="s">
        <v>937</v>
      </c>
      <c r="H32" s="25" t="s">
        <v>1060</v>
      </c>
      <c r="I32" s="25" t="s">
        <v>1061</v>
      </c>
      <c r="J32" s="25" t="s">
        <v>933</v>
      </c>
      <c r="K32" s="25" t="s">
        <v>933</v>
      </c>
      <c r="L32" s="24"/>
    </row>
    <row r="33" spans="1:12" ht="57" customHeight="1">
      <c r="A33" s="24" t="str">
        <f t="shared" si="0"/>
        <v>EUR_HE03.1.1</v>
      </c>
      <c r="B33" s="24" t="s">
        <v>93</v>
      </c>
      <c r="C33" s="25" t="s">
        <v>1062</v>
      </c>
      <c r="D33" s="25" t="s">
        <v>805</v>
      </c>
      <c r="E33" s="25" t="s">
        <v>942</v>
      </c>
      <c r="F33" s="25" t="s">
        <v>943</v>
      </c>
      <c r="G33" s="25" t="s">
        <v>944</v>
      </c>
      <c r="H33" s="25" t="s">
        <v>1063</v>
      </c>
      <c r="I33" s="25" t="s">
        <v>1064</v>
      </c>
      <c r="J33" s="25" t="s">
        <v>1065</v>
      </c>
      <c r="K33" s="25" t="s">
        <v>1066</v>
      </c>
      <c r="L33" s="24"/>
    </row>
    <row r="34" spans="1:12" ht="376.15" customHeight="1">
      <c r="A34" s="24" t="str">
        <f t="shared" si="0"/>
        <v>EUR_HE03.1.2</v>
      </c>
      <c r="B34" s="24" t="s">
        <v>94</v>
      </c>
      <c r="C34" s="25" t="s">
        <v>1067</v>
      </c>
      <c r="D34" s="25" t="s">
        <v>806</v>
      </c>
      <c r="E34" s="25" t="s">
        <v>942</v>
      </c>
      <c r="F34" s="25" t="s">
        <v>943</v>
      </c>
      <c r="G34" s="25" t="s">
        <v>944</v>
      </c>
      <c r="H34" s="25" t="s">
        <v>1068</v>
      </c>
      <c r="I34" s="25" t="s">
        <v>1069</v>
      </c>
      <c r="J34" s="25" t="s">
        <v>1070</v>
      </c>
      <c r="K34" s="25" t="s">
        <v>1071</v>
      </c>
      <c r="L34" s="24"/>
    </row>
    <row r="35" spans="1:12" ht="376.15" customHeight="1">
      <c r="A35" s="24" t="str">
        <f t="shared" si="0"/>
        <v>EUR_HE03.1.3</v>
      </c>
      <c r="B35" s="24" t="s">
        <v>95</v>
      </c>
      <c r="C35" s="25" t="s">
        <v>1072</v>
      </c>
      <c r="D35" s="25" t="s">
        <v>807</v>
      </c>
      <c r="E35" s="25" t="s">
        <v>942</v>
      </c>
      <c r="F35" s="25" t="s">
        <v>943</v>
      </c>
      <c r="G35" s="25" t="s">
        <v>944</v>
      </c>
      <c r="H35" s="25" t="s">
        <v>1073</v>
      </c>
      <c r="I35" s="25" t="s">
        <v>1074</v>
      </c>
      <c r="J35" s="25" t="s">
        <v>1075</v>
      </c>
      <c r="K35" s="25" t="s">
        <v>1076</v>
      </c>
      <c r="L35" s="24"/>
    </row>
    <row r="36" spans="1:12" ht="238.15" customHeight="1">
      <c r="A36" s="24" t="str">
        <f t="shared" si="0"/>
        <v>EUR_HE03.1.4</v>
      </c>
      <c r="B36" s="24" t="s">
        <v>96</v>
      </c>
      <c r="C36" s="25" t="s">
        <v>1077</v>
      </c>
      <c r="D36" s="25" t="s">
        <v>808</v>
      </c>
      <c r="E36" s="25" t="s">
        <v>942</v>
      </c>
      <c r="F36" s="25" t="s">
        <v>943</v>
      </c>
      <c r="G36" s="25" t="s">
        <v>944</v>
      </c>
      <c r="H36" s="25" t="s">
        <v>1078</v>
      </c>
      <c r="I36" s="25" t="s">
        <v>1079</v>
      </c>
      <c r="J36" s="25" t="s">
        <v>1080</v>
      </c>
      <c r="K36" s="25" t="s">
        <v>1081</v>
      </c>
      <c r="L36" s="24"/>
    </row>
    <row r="37" spans="1:12" ht="15" customHeight="1">
      <c r="A37" s="24" t="str">
        <f t="shared" si="0"/>
        <v>EUR_HE03.2</v>
      </c>
      <c r="B37" s="24" t="s">
        <v>36</v>
      </c>
      <c r="C37" s="25" t="s">
        <v>1082</v>
      </c>
      <c r="D37" s="25" t="s">
        <v>1083</v>
      </c>
      <c r="E37" s="25" t="s">
        <v>934</v>
      </c>
      <c r="F37" s="25" t="s">
        <v>936</v>
      </c>
      <c r="G37" s="25" t="s">
        <v>937</v>
      </c>
      <c r="H37" s="25" t="s">
        <v>1084</v>
      </c>
      <c r="I37" s="25" t="s">
        <v>1085</v>
      </c>
      <c r="J37" s="25" t="s">
        <v>933</v>
      </c>
      <c r="K37" s="25" t="s">
        <v>933</v>
      </c>
      <c r="L37" s="24"/>
    </row>
    <row r="38" spans="1:12" ht="247.9" customHeight="1">
      <c r="A38" s="24" t="str">
        <f t="shared" si="0"/>
        <v>EUR_HE03.2.1</v>
      </c>
      <c r="B38" s="24" t="s">
        <v>97</v>
      </c>
      <c r="C38" s="25" t="s">
        <v>1086</v>
      </c>
      <c r="D38" s="25" t="s">
        <v>809</v>
      </c>
      <c r="E38" s="25" t="s">
        <v>942</v>
      </c>
      <c r="F38" s="25" t="s">
        <v>943</v>
      </c>
      <c r="G38" s="25" t="s">
        <v>944</v>
      </c>
      <c r="H38" s="25" t="s">
        <v>1087</v>
      </c>
      <c r="I38" s="25" t="s">
        <v>1088</v>
      </c>
      <c r="J38" s="25" t="s">
        <v>1089</v>
      </c>
      <c r="K38" s="25" t="s">
        <v>1090</v>
      </c>
      <c r="L38" s="24"/>
    </row>
    <row r="39" spans="1:12" ht="247.9" customHeight="1">
      <c r="A39" s="24" t="str">
        <f t="shared" si="0"/>
        <v>EUR_HE03.2.2</v>
      </c>
      <c r="B39" s="24" t="s">
        <v>98</v>
      </c>
      <c r="C39" s="25" t="s">
        <v>1091</v>
      </c>
      <c r="D39" s="25" t="s">
        <v>810</v>
      </c>
      <c r="E39" s="25" t="s">
        <v>942</v>
      </c>
      <c r="F39" s="25" t="s">
        <v>943</v>
      </c>
      <c r="G39" s="25" t="s">
        <v>944</v>
      </c>
      <c r="H39" s="25" t="s">
        <v>1092</v>
      </c>
      <c r="I39" s="25" t="s">
        <v>1093</v>
      </c>
      <c r="J39" s="25" t="s">
        <v>1094</v>
      </c>
      <c r="K39" s="25" t="s">
        <v>1095</v>
      </c>
      <c r="L39" s="24"/>
    </row>
    <row r="40" spans="1:12" ht="15" customHeight="1">
      <c r="A40" s="24" t="str">
        <f t="shared" si="0"/>
        <v>EUR_HE04.</v>
      </c>
      <c r="B40" s="24" t="s">
        <v>21</v>
      </c>
      <c r="C40" s="25" t="s">
        <v>1096</v>
      </c>
      <c r="D40" s="25" t="s">
        <v>1097</v>
      </c>
      <c r="E40" s="25" t="s">
        <v>927</v>
      </c>
      <c r="F40" s="25" t="s">
        <v>929</v>
      </c>
      <c r="G40" s="25" t="s">
        <v>930</v>
      </c>
      <c r="H40" s="25" t="s">
        <v>1098</v>
      </c>
      <c r="I40" s="25" t="s">
        <v>1099</v>
      </c>
      <c r="J40" s="25" t="s">
        <v>933</v>
      </c>
      <c r="K40" s="25" t="s">
        <v>933</v>
      </c>
      <c r="L40" s="24"/>
    </row>
    <row r="41" spans="1:12" ht="409.6" customHeight="1">
      <c r="A41" s="24" t="str">
        <f t="shared" si="0"/>
        <v>EUR_HE04.1</v>
      </c>
      <c r="B41" s="24" t="s">
        <v>37</v>
      </c>
      <c r="C41" s="25" t="s">
        <v>1100</v>
      </c>
      <c r="D41" s="25" t="s">
        <v>1101</v>
      </c>
      <c r="E41" s="25" t="s">
        <v>934</v>
      </c>
      <c r="F41" s="25" t="s">
        <v>936</v>
      </c>
      <c r="G41" s="25" t="s">
        <v>937</v>
      </c>
      <c r="H41" s="25" t="s">
        <v>1102</v>
      </c>
      <c r="I41" s="25" t="s">
        <v>1103</v>
      </c>
      <c r="J41" s="25" t="s">
        <v>1104</v>
      </c>
      <c r="K41" s="25" t="s">
        <v>1105</v>
      </c>
      <c r="L41" s="24"/>
    </row>
    <row r="42" spans="1:12" ht="163.15" customHeight="1">
      <c r="A42" s="24" t="str">
        <f t="shared" si="0"/>
        <v>EUR_HE04.1.1</v>
      </c>
      <c r="B42" s="24" t="s">
        <v>99</v>
      </c>
      <c r="C42" s="25" t="s">
        <v>1106</v>
      </c>
      <c r="D42" s="25" t="s">
        <v>811</v>
      </c>
      <c r="E42" s="25" t="s">
        <v>942</v>
      </c>
      <c r="F42" s="25" t="s">
        <v>943</v>
      </c>
      <c r="G42" s="25" t="s">
        <v>944</v>
      </c>
      <c r="H42" s="25" t="s">
        <v>1107</v>
      </c>
      <c r="I42" s="25" t="s">
        <v>1108</v>
      </c>
      <c r="J42" s="25" t="s">
        <v>1109</v>
      </c>
      <c r="K42" s="25" t="s">
        <v>1110</v>
      </c>
      <c r="L42" s="24"/>
    </row>
    <row r="43" spans="1:12" ht="67.150000000000006" customHeight="1">
      <c r="A43" s="24" t="str">
        <f t="shared" si="0"/>
        <v>EUR_HE04.1.2</v>
      </c>
      <c r="B43" s="24" t="s">
        <v>100</v>
      </c>
      <c r="C43" s="25" t="s">
        <v>1111</v>
      </c>
      <c r="D43" s="25" t="s">
        <v>813</v>
      </c>
      <c r="E43" s="25" t="s">
        <v>942</v>
      </c>
      <c r="F43" s="25" t="s">
        <v>943</v>
      </c>
      <c r="G43" s="25" t="s">
        <v>944</v>
      </c>
      <c r="H43" s="25" t="s">
        <v>1112</v>
      </c>
      <c r="I43" s="25" t="s">
        <v>1113</v>
      </c>
      <c r="J43" s="25" t="s">
        <v>1114</v>
      </c>
      <c r="K43" s="25" t="s">
        <v>1115</v>
      </c>
      <c r="L43" s="24"/>
    </row>
    <row r="44" spans="1:12" ht="25.15" customHeight="1">
      <c r="A44" s="24" t="str">
        <f t="shared" si="0"/>
        <v>EUR_HE04.2</v>
      </c>
      <c r="B44" s="24" t="s">
        <v>38</v>
      </c>
      <c r="C44" s="25" t="s">
        <v>1116</v>
      </c>
      <c r="D44" s="25" t="s">
        <v>1117</v>
      </c>
      <c r="E44" s="25" t="s">
        <v>934</v>
      </c>
      <c r="F44" s="25" t="s">
        <v>936</v>
      </c>
      <c r="G44" s="25" t="s">
        <v>937</v>
      </c>
      <c r="H44" s="25" t="s">
        <v>1118</v>
      </c>
      <c r="I44" s="25" t="s">
        <v>1119</v>
      </c>
      <c r="J44" s="25" t="s">
        <v>1120</v>
      </c>
      <c r="K44" s="25" t="s">
        <v>1121</v>
      </c>
      <c r="L44" s="24"/>
    </row>
    <row r="45" spans="1:12" ht="34.9" customHeight="1">
      <c r="A45" s="24" t="str">
        <f t="shared" si="0"/>
        <v>EUR_HE04.2.1</v>
      </c>
      <c r="B45" s="24" t="s">
        <v>101</v>
      </c>
      <c r="C45" s="25" t="s">
        <v>1122</v>
      </c>
      <c r="D45" s="25" t="s">
        <v>814</v>
      </c>
      <c r="E45" s="25" t="s">
        <v>942</v>
      </c>
      <c r="F45" s="25" t="s">
        <v>943</v>
      </c>
      <c r="G45" s="25" t="s">
        <v>944</v>
      </c>
      <c r="H45" s="25" t="s">
        <v>1123</v>
      </c>
      <c r="I45" s="25" t="s">
        <v>1124</v>
      </c>
      <c r="J45" s="25" t="s">
        <v>1125</v>
      </c>
      <c r="K45" s="25" t="s">
        <v>1126</v>
      </c>
      <c r="L45" s="24"/>
    </row>
    <row r="46" spans="1:12" ht="67.150000000000006" customHeight="1">
      <c r="A46" s="24" t="str">
        <f t="shared" si="0"/>
        <v>EUR_HE04.2.2</v>
      </c>
      <c r="B46" s="24" t="s">
        <v>102</v>
      </c>
      <c r="C46" s="25" t="s">
        <v>1127</v>
      </c>
      <c r="D46" s="25" t="s">
        <v>816</v>
      </c>
      <c r="E46" s="25" t="s">
        <v>942</v>
      </c>
      <c r="F46" s="25" t="s">
        <v>943</v>
      </c>
      <c r="G46" s="25" t="s">
        <v>944</v>
      </c>
      <c r="H46" s="25" t="s">
        <v>1128</v>
      </c>
      <c r="I46" s="25" t="s">
        <v>1129</v>
      </c>
      <c r="J46" s="25" t="s">
        <v>1130</v>
      </c>
      <c r="K46" s="25" t="s">
        <v>1131</v>
      </c>
      <c r="L46" s="24"/>
    </row>
    <row r="47" spans="1:12" ht="409.6" customHeight="1">
      <c r="A47" s="24" t="str">
        <f t="shared" si="0"/>
        <v>EUR_HE04.3</v>
      </c>
      <c r="B47" s="24" t="s">
        <v>39</v>
      </c>
      <c r="C47" s="25" t="s">
        <v>1132</v>
      </c>
      <c r="D47" s="25" t="s">
        <v>1133</v>
      </c>
      <c r="E47" s="25" t="s">
        <v>934</v>
      </c>
      <c r="F47" s="25" t="s">
        <v>936</v>
      </c>
      <c r="G47" s="25" t="s">
        <v>937</v>
      </c>
      <c r="H47" s="25" t="s">
        <v>1134</v>
      </c>
      <c r="I47" s="25" t="s">
        <v>1135</v>
      </c>
      <c r="J47" s="25" t="s">
        <v>1136</v>
      </c>
      <c r="K47" s="25" t="s">
        <v>1137</v>
      </c>
      <c r="L47" s="24"/>
    </row>
    <row r="48" spans="1:12" ht="322.89999999999998" customHeight="1">
      <c r="A48" s="24" t="str">
        <f t="shared" si="0"/>
        <v>EUR_HE04.3.1</v>
      </c>
      <c r="B48" s="24" t="s">
        <v>103</v>
      </c>
      <c r="C48" s="25" t="s">
        <v>1138</v>
      </c>
      <c r="D48" s="25" t="s">
        <v>817</v>
      </c>
      <c r="E48" s="25" t="s">
        <v>942</v>
      </c>
      <c r="F48" s="25" t="s">
        <v>943</v>
      </c>
      <c r="G48" s="25" t="s">
        <v>944</v>
      </c>
      <c r="H48" s="25" t="s">
        <v>1139</v>
      </c>
      <c r="I48" s="25" t="s">
        <v>1140</v>
      </c>
      <c r="J48" s="25" t="s">
        <v>1141</v>
      </c>
      <c r="K48" s="25" t="s">
        <v>1142</v>
      </c>
      <c r="L48" s="24"/>
    </row>
    <row r="49" spans="1:12" ht="270" customHeight="1">
      <c r="A49" s="24" t="str">
        <f t="shared" si="0"/>
        <v>EUR_HE04.3.2</v>
      </c>
      <c r="B49" s="24" t="s">
        <v>104</v>
      </c>
      <c r="C49" s="25" t="s">
        <v>1143</v>
      </c>
      <c r="D49" s="25" t="s">
        <v>822</v>
      </c>
      <c r="E49" s="25" t="s">
        <v>942</v>
      </c>
      <c r="F49" s="25" t="s">
        <v>943</v>
      </c>
      <c r="G49" s="25" t="s">
        <v>944</v>
      </c>
      <c r="H49" s="25" t="s">
        <v>1144</v>
      </c>
      <c r="I49" s="25" t="s">
        <v>1145</v>
      </c>
      <c r="J49" s="25" t="s">
        <v>1146</v>
      </c>
      <c r="K49" s="25" t="s">
        <v>1147</v>
      </c>
      <c r="L49" s="24"/>
    </row>
    <row r="50" spans="1:12" ht="25.15" customHeight="1">
      <c r="A50" s="24" t="str">
        <f t="shared" si="0"/>
        <v>EUR_HE04.4</v>
      </c>
      <c r="B50" s="24" t="s">
        <v>40</v>
      </c>
      <c r="C50" s="25" t="s">
        <v>1148</v>
      </c>
      <c r="D50" s="25" t="s">
        <v>1149</v>
      </c>
      <c r="E50" s="25" t="s">
        <v>934</v>
      </c>
      <c r="F50" s="25" t="s">
        <v>936</v>
      </c>
      <c r="G50" s="25" t="s">
        <v>937</v>
      </c>
      <c r="H50" s="25" t="s">
        <v>1150</v>
      </c>
      <c r="I50" s="25" t="s">
        <v>1151</v>
      </c>
      <c r="J50" s="25" t="s">
        <v>933</v>
      </c>
      <c r="K50" s="25" t="s">
        <v>933</v>
      </c>
      <c r="L50" s="24"/>
    </row>
    <row r="51" spans="1:12" ht="121.15" customHeight="1">
      <c r="A51" s="24" t="str">
        <f t="shared" si="0"/>
        <v>EUR_HE04.4.1</v>
      </c>
      <c r="B51" s="24" t="s">
        <v>105</v>
      </c>
      <c r="C51" s="25" t="s">
        <v>1152</v>
      </c>
      <c r="D51" s="25" t="s">
        <v>823</v>
      </c>
      <c r="E51" s="25" t="s">
        <v>942</v>
      </c>
      <c r="F51" s="25" t="s">
        <v>943</v>
      </c>
      <c r="G51" s="25" t="s">
        <v>944</v>
      </c>
      <c r="H51" s="25" t="s">
        <v>1153</v>
      </c>
      <c r="I51" s="25" t="s">
        <v>1154</v>
      </c>
      <c r="J51" s="25" t="s">
        <v>1155</v>
      </c>
      <c r="K51" s="25" t="s">
        <v>1156</v>
      </c>
      <c r="L51" s="24"/>
    </row>
    <row r="52" spans="1:12" ht="25.15" customHeight="1">
      <c r="A52" s="24" t="str">
        <f t="shared" si="0"/>
        <v>EUR_HE04.4.2</v>
      </c>
      <c r="B52" s="24" t="s">
        <v>106</v>
      </c>
      <c r="C52" s="25" t="s">
        <v>1157</v>
      </c>
      <c r="D52" s="25" t="s">
        <v>824</v>
      </c>
      <c r="E52" s="25" t="s">
        <v>942</v>
      </c>
      <c r="F52" s="25" t="s">
        <v>943</v>
      </c>
      <c r="G52" s="25" t="s">
        <v>944</v>
      </c>
      <c r="H52" s="25" t="s">
        <v>1158</v>
      </c>
      <c r="I52" s="25" t="s">
        <v>1159</v>
      </c>
      <c r="J52" s="25" t="s">
        <v>1160</v>
      </c>
      <c r="K52" s="25" t="s">
        <v>1161</v>
      </c>
      <c r="L52" s="24"/>
    </row>
    <row r="53" spans="1:12" ht="25.15" customHeight="1">
      <c r="A53" s="24" t="str">
        <f t="shared" si="0"/>
        <v>EUR_HE04.4.3</v>
      </c>
      <c r="B53" s="24" t="s">
        <v>107</v>
      </c>
      <c r="C53" s="25" t="s">
        <v>1162</v>
      </c>
      <c r="D53" s="25" t="s">
        <v>825</v>
      </c>
      <c r="E53" s="25" t="s">
        <v>942</v>
      </c>
      <c r="F53" s="25" t="s">
        <v>943</v>
      </c>
      <c r="G53" s="25" t="s">
        <v>944</v>
      </c>
      <c r="H53" s="25" t="s">
        <v>1163</v>
      </c>
      <c r="I53" s="25" t="s">
        <v>1164</v>
      </c>
      <c r="J53" s="25" t="s">
        <v>1165</v>
      </c>
      <c r="K53" s="25" t="s">
        <v>1166</v>
      </c>
      <c r="L53" s="24"/>
    </row>
    <row r="54" spans="1:12" ht="174" customHeight="1">
      <c r="A54" s="24" t="str">
        <f t="shared" si="0"/>
        <v>EUR_HE04.4.4</v>
      </c>
      <c r="B54" s="24" t="s">
        <v>108</v>
      </c>
      <c r="C54" s="25" t="s">
        <v>1167</v>
      </c>
      <c r="D54" s="25" t="s">
        <v>826</v>
      </c>
      <c r="E54" s="25" t="s">
        <v>942</v>
      </c>
      <c r="F54" s="25" t="s">
        <v>943</v>
      </c>
      <c r="G54" s="25" t="s">
        <v>944</v>
      </c>
      <c r="H54" s="25" t="s">
        <v>1168</v>
      </c>
      <c r="I54" s="25" t="s">
        <v>1169</v>
      </c>
      <c r="J54" s="25" t="s">
        <v>1170</v>
      </c>
      <c r="K54" s="25" t="s">
        <v>1171</v>
      </c>
      <c r="L54" s="24"/>
    </row>
    <row r="55" spans="1:12" ht="15" customHeight="1">
      <c r="A55" s="24" t="str">
        <f t="shared" si="0"/>
        <v>EUR_HE04.5</v>
      </c>
      <c r="B55" s="24" t="s">
        <v>41</v>
      </c>
      <c r="C55" s="25" t="s">
        <v>1172</v>
      </c>
      <c r="D55" s="25" t="s">
        <v>1173</v>
      </c>
      <c r="E55" s="25" t="s">
        <v>934</v>
      </c>
      <c r="F55" s="25" t="s">
        <v>936</v>
      </c>
      <c r="G55" s="25" t="s">
        <v>937</v>
      </c>
      <c r="H55" s="25" t="s">
        <v>1174</v>
      </c>
      <c r="I55" s="25" t="s">
        <v>1175</v>
      </c>
      <c r="J55" s="25" t="s">
        <v>933</v>
      </c>
      <c r="K55" s="25" t="s">
        <v>933</v>
      </c>
      <c r="L55" s="24"/>
    </row>
    <row r="56" spans="1:12" ht="57" customHeight="1">
      <c r="A56" s="24" t="str">
        <f t="shared" si="0"/>
        <v>EUR_HE04.5.1</v>
      </c>
      <c r="B56" s="24" t="s">
        <v>109</v>
      </c>
      <c r="C56" s="25" t="s">
        <v>1176</v>
      </c>
      <c r="D56" s="25" t="s">
        <v>827</v>
      </c>
      <c r="E56" s="25" t="s">
        <v>942</v>
      </c>
      <c r="F56" s="25" t="s">
        <v>943</v>
      </c>
      <c r="G56" s="25" t="s">
        <v>944</v>
      </c>
      <c r="H56" s="25" t="s">
        <v>1177</v>
      </c>
      <c r="I56" s="25" t="s">
        <v>1178</v>
      </c>
      <c r="J56" s="25" t="s">
        <v>1179</v>
      </c>
      <c r="K56" s="25" t="s">
        <v>1180</v>
      </c>
      <c r="L56" s="24"/>
    </row>
    <row r="57" spans="1:12" ht="99" customHeight="1">
      <c r="A57" s="24" t="str">
        <f t="shared" si="0"/>
        <v>EUR_HE04.5.2</v>
      </c>
      <c r="B57" s="24" t="s">
        <v>110</v>
      </c>
      <c r="C57" s="25" t="s">
        <v>1181</v>
      </c>
      <c r="D57" s="25" t="s">
        <v>828</v>
      </c>
      <c r="E57" s="25" t="s">
        <v>942</v>
      </c>
      <c r="F57" s="25" t="s">
        <v>943</v>
      </c>
      <c r="G57" s="25" t="s">
        <v>944</v>
      </c>
      <c r="H57" s="25" t="s">
        <v>1182</v>
      </c>
      <c r="I57" s="25" t="s">
        <v>1183</v>
      </c>
      <c r="J57" s="25" t="s">
        <v>1184</v>
      </c>
      <c r="K57" s="25" t="s">
        <v>1185</v>
      </c>
      <c r="L57" s="24"/>
    </row>
    <row r="58" spans="1:12" ht="25.15" customHeight="1">
      <c r="A58" s="24" t="str">
        <f t="shared" si="0"/>
        <v>EUR_HE04.5.3</v>
      </c>
      <c r="B58" s="24" t="s">
        <v>111</v>
      </c>
      <c r="C58" s="25" t="s">
        <v>1186</v>
      </c>
      <c r="D58" s="25" t="s">
        <v>830</v>
      </c>
      <c r="E58" s="25" t="s">
        <v>942</v>
      </c>
      <c r="F58" s="25" t="s">
        <v>943</v>
      </c>
      <c r="G58" s="25" t="s">
        <v>944</v>
      </c>
      <c r="H58" s="25" t="s">
        <v>1187</v>
      </c>
      <c r="I58" s="25" t="s">
        <v>1188</v>
      </c>
      <c r="J58" s="25" t="s">
        <v>1189</v>
      </c>
      <c r="K58" s="25" t="s">
        <v>1190</v>
      </c>
      <c r="L58" s="24"/>
    </row>
    <row r="59" spans="1:12" ht="34.9" customHeight="1">
      <c r="A59" s="24" t="str">
        <f t="shared" si="0"/>
        <v>EUR_HE04.5.4</v>
      </c>
      <c r="B59" s="24" t="s">
        <v>112</v>
      </c>
      <c r="C59" s="25" t="s">
        <v>1191</v>
      </c>
      <c r="D59" s="25" t="s">
        <v>831</v>
      </c>
      <c r="E59" s="25" t="s">
        <v>942</v>
      </c>
      <c r="F59" s="25" t="s">
        <v>943</v>
      </c>
      <c r="G59" s="25" t="s">
        <v>944</v>
      </c>
      <c r="H59" s="25" t="s">
        <v>1192</v>
      </c>
      <c r="I59" s="25" t="s">
        <v>1193</v>
      </c>
      <c r="J59" s="25" t="s">
        <v>1194</v>
      </c>
      <c r="K59" s="25" t="s">
        <v>1195</v>
      </c>
      <c r="L59" s="24"/>
    </row>
    <row r="60" spans="1:12" ht="99" customHeight="1">
      <c r="A60" s="24" t="str">
        <f t="shared" si="0"/>
        <v>EUR_HE04.5.5</v>
      </c>
      <c r="B60" s="24" t="s">
        <v>113</v>
      </c>
      <c r="C60" s="25" t="s">
        <v>1196</v>
      </c>
      <c r="D60" s="25" t="s">
        <v>832</v>
      </c>
      <c r="E60" s="25" t="s">
        <v>942</v>
      </c>
      <c r="F60" s="25" t="s">
        <v>943</v>
      </c>
      <c r="G60" s="25" t="s">
        <v>944</v>
      </c>
      <c r="H60" s="25" t="s">
        <v>1197</v>
      </c>
      <c r="I60" s="25" t="s">
        <v>1198</v>
      </c>
      <c r="J60" s="25" t="s">
        <v>1199</v>
      </c>
      <c r="K60" s="25" t="s">
        <v>1200</v>
      </c>
      <c r="L60" s="24"/>
    </row>
    <row r="61" spans="1:12" ht="25.15" customHeight="1">
      <c r="A61" s="24" t="str">
        <f t="shared" si="0"/>
        <v>EUR_HE05.</v>
      </c>
      <c r="B61" s="24" t="s">
        <v>22</v>
      </c>
      <c r="C61" s="25" t="s">
        <v>1201</v>
      </c>
      <c r="D61" s="25" t="s">
        <v>1202</v>
      </c>
      <c r="E61" s="25" t="s">
        <v>927</v>
      </c>
      <c r="F61" s="25" t="s">
        <v>929</v>
      </c>
      <c r="G61" s="25" t="s">
        <v>930</v>
      </c>
      <c r="H61" s="25" t="s">
        <v>1203</v>
      </c>
      <c r="I61" s="25" t="s">
        <v>1204</v>
      </c>
      <c r="J61" s="25" t="s">
        <v>933</v>
      </c>
      <c r="K61" s="25" t="s">
        <v>933</v>
      </c>
      <c r="L61" s="24"/>
    </row>
    <row r="62" spans="1:12" ht="25.15" customHeight="1">
      <c r="A62" s="24" t="str">
        <f t="shared" si="0"/>
        <v>EUR_HE05.1</v>
      </c>
      <c r="B62" s="24" t="s">
        <v>42</v>
      </c>
      <c r="C62" s="25" t="s">
        <v>1205</v>
      </c>
      <c r="D62" s="25" t="s">
        <v>1206</v>
      </c>
      <c r="E62" s="25" t="s">
        <v>934</v>
      </c>
      <c r="F62" s="25" t="s">
        <v>936</v>
      </c>
      <c r="G62" s="25" t="s">
        <v>937</v>
      </c>
      <c r="H62" s="25" t="s">
        <v>1207</v>
      </c>
      <c r="I62" s="25" t="s">
        <v>1208</v>
      </c>
      <c r="J62" s="25" t="s">
        <v>933</v>
      </c>
      <c r="K62" s="25" t="s">
        <v>933</v>
      </c>
      <c r="L62" s="24"/>
    </row>
    <row r="63" spans="1:12" ht="408" customHeight="1">
      <c r="A63" s="24" t="str">
        <f t="shared" si="0"/>
        <v>EUR_HE05.1.1</v>
      </c>
      <c r="B63" s="24" t="s">
        <v>114</v>
      </c>
      <c r="C63" s="25" t="s">
        <v>1209</v>
      </c>
      <c r="D63" s="25" t="s">
        <v>833</v>
      </c>
      <c r="E63" s="25" t="s">
        <v>942</v>
      </c>
      <c r="F63" s="25" t="s">
        <v>943</v>
      </c>
      <c r="G63" s="25" t="s">
        <v>944</v>
      </c>
      <c r="H63" s="25" t="s">
        <v>1210</v>
      </c>
      <c r="I63" s="25" t="s">
        <v>1211</v>
      </c>
      <c r="J63" s="25" t="s">
        <v>1212</v>
      </c>
      <c r="K63" s="25" t="s">
        <v>1213</v>
      </c>
      <c r="L63" s="24"/>
    </row>
    <row r="64" spans="1:12" ht="121.15" customHeight="1">
      <c r="A64" s="24" t="str">
        <f t="shared" si="0"/>
        <v>EUR_HE05.1.2</v>
      </c>
      <c r="B64" s="24" t="s">
        <v>115</v>
      </c>
      <c r="C64" s="25" t="s">
        <v>1214</v>
      </c>
      <c r="D64" s="25" t="s">
        <v>834</v>
      </c>
      <c r="E64" s="25" t="s">
        <v>942</v>
      </c>
      <c r="F64" s="25" t="s">
        <v>943</v>
      </c>
      <c r="G64" s="25" t="s">
        <v>944</v>
      </c>
      <c r="H64" s="25" t="s">
        <v>1215</v>
      </c>
      <c r="I64" s="25" t="s">
        <v>1216</v>
      </c>
      <c r="J64" s="25" t="s">
        <v>1217</v>
      </c>
      <c r="K64" s="25" t="s">
        <v>1218</v>
      </c>
      <c r="L64" s="24"/>
    </row>
    <row r="65" spans="1:12" ht="226.9" customHeight="1">
      <c r="A65" s="24" t="str">
        <f t="shared" si="0"/>
        <v>EUR_HE05.1.3</v>
      </c>
      <c r="B65" s="24" t="s">
        <v>116</v>
      </c>
      <c r="C65" s="25" t="s">
        <v>1219</v>
      </c>
      <c r="D65" s="25" t="s">
        <v>835</v>
      </c>
      <c r="E65" s="25" t="s">
        <v>942</v>
      </c>
      <c r="F65" s="25" t="s">
        <v>943</v>
      </c>
      <c r="G65" s="25" t="s">
        <v>944</v>
      </c>
      <c r="H65" s="25" t="s">
        <v>1220</v>
      </c>
      <c r="I65" s="25" t="s">
        <v>1221</v>
      </c>
      <c r="J65" s="25" t="s">
        <v>1222</v>
      </c>
      <c r="K65" s="25" t="s">
        <v>1223</v>
      </c>
      <c r="L65" s="24"/>
    </row>
    <row r="66" spans="1:12" ht="15" customHeight="1">
      <c r="A66" s="24" t="str">
        <f t="shared" si="0"/>
        <v>EUR_HE05.2</v>
      </c>
      <c r="B66" s="24" t="s">
        <v>43</v>
      </c>
      <c r="C66" s="25" t="s">
        <v>1224</v>
      </c>
      <c r="D66" s="25" t="s">
        <v>1225</v>
      </c>
      <c r="E66" s="25" t="s">
        <v>934</v>
      </c>
      <c r="F66" s="25" t="s">
        <v>936</v>
      </c>
      <c r="G66" s="25" t="s">
        <v>937</v>
      </c>
      <c r="H66" s="25" t="s">
        <v>1226</v>
      </c>
      <c r="I66" s="25" t="s">
        <v>1227</v>
      </c>
      <c r="J66" s="25" t="s">
        <v>933</v>
      </c>
      <c r="K66" s="25" t="s">
        <v>933</v>
      </c>
      <c r="L66" s="24"/>
    </row>
    <row r="67" spans="1:12" ht="376.15" customHeight="1">
      <c r="A67" s="24" t="str">
        <f t="shared" si="0"/>
        <v>EUR_HE05.2.0</v>
      </c>
      <c r="B67" s="24" t="s">
        <v>1228</v>
      </c>
      <c r="C67" s="25" t="s">
        <v>1229</v>
      </c>
      <c r="D67" s="25" t="s">
        <v>1230</v>
      </c>
      <c r="E67" s="25" t="s">
        <v>942</v>
      </c>
      <c r="F67" s="25" t="s">
        <v>943</v>
      </c>
      <c r="G67" s="25" t="s">
        <v>944</v>
      </c>
      <c r="H67" s="25" t="s">
        <v>1231</v>
      </c>
      <c r="I67" s="25" t="s">
        <v>1232</v>
      </c>
      <c r="J67" s="25" t="s">
        <v>1233</v>
      </c>
      <c r="K67" s="25" t="s">
        <v>1234</v>
      </c>
      <c r="L67" s="24"/>
    </row>
    <row r="68" spans="1:12" ht="15" customHeight="1">
      <c r="A68" s="24" t="str">
        <f t="shared" si="0"/>
        <v>EUR_HE05.3</v>
      </c>
      <c r="B68" s="24" t="s">
        <v>44</v>
      </c>
      <c r="C68" s="25" t="s">
        <v>1235</v>
      </c>
      <c r="D68" s="25" t="s">
        <v>1236</v>
      </c>
      <c r="E68" s="25" t="s">
        <v>934</v>
      </c>
      <c r="F68" s="25" t="s">
        <v>936</v>
      </c>
      <c r="G68" s="25" t="s">
        <v>937</v>
      </c>
      <c r="H68" s="25" t="s">
        <v>1237</v>
      </c>
      <c r="I68" s="25" t="s">
        <v>1238</v>
      </c>
      <c r="J68" s="25" t="s">
        <v>933</v>
      </c>
      <c r="K68" s="25" t="s">
        <v>933</v>
      </c>
      <c r="L68" s="24"/>
    </row>
    <row r="69" spans="1:12" ht="322.89999999999998" customHeight="1">
      <c r="A69" s="24" t="str">
        <f t="shared" si="0"/>
        <v>EUR_HE05.3.1</v>
      </c>
      <c r="B69" s="24" t="s">
        <v>118</v>
      </c>
      <c r="C69" s="25" t="s">
        <v>1239</v>
      </c>
      <c r="D69" s="25" t="s">
        <v>837</v>
      </c>
      <c r="E69" s="25" t="s">
        <v>942</v>
      </c>
      <c r="F69" s="25" t="s">
        <v>943</v>
      </c>
      <c r="G69" s="25" t="s">
        <v>944</v>
      </c>
      <c r="H69" s="25" t="s">
        <v>1240</v>
      </c>
      <c r="I69" s="25" t="s">
        <v>1241</v>
      </c>
      <c r="J69" s="25" t="s">
        <v>1242</v>
      </c>
      <c r="K69" s="25" t="s">
        <v>1243</v>
      </c>
      <c r="L69" s="24"/>
    </row>
    <row r="70" spans="1:12" ht="174" customHeight="1">
      <c r="A70" s="24" t="str">
        <f t="shared" si="0"/>
        <v>EUR_HE05.3.2</v>
      </c>
      <c r="B70" s="24" t="s">
        <v>119</v>
      </c>
      <c r="C70" s="25" t="s">
        <v>1244</v>
      </c>
      <c r="D70" s="25" t="s">
        <v>838</v>
      </c>
      <c r="E70" s="25" t="s">
        <v>942</v>
      </c>
      <c r="F70" s="25" t="s">
        <v>943</v>
      </c>
      <c r="G70" s="25" t="s">
        <v>944</v>
      </c>
      <c r="H70" s="25" t="s">
        <v>1245</v>
      </c>
      <c r="I70" s="25" t="s">
        <v>1246</v>
      </c>
      <c r="J70" s="25" t="s">
        <v>1247</v>
      </c>
      <c r="K70" s="25" t="s">
        <v>1248</v>
      </c>
      <c r="L70" s="24"/>
    </row>
    <row r="71" spans="1:12" ht="163.15" customHeight="1">
      <c r="A71" s="24" t="str">
        <f t="shared" si="0"/>
        <v>EUR_HE05.3.3</v>
      </c>
      <c r="B71" s="24" t="s">
        <v>120</v>
      </c>
      <c r="C71" s="25" t="s">
        <v>1249</v>
      </c>
      <c r="D71" s="25" t="s">
        <v>839</v>
      </c>
      <c r="E71" s="25" t="s">
        <v>942</v>
      </c>
      <c r="F71" s="25" t="s">
        <v>943</v>
      </c>
      <c r="G71" s="25" t="s">
        <v>944</v>
      </c>
      <c r="H71" s="25" t="s">
        <v>1250</v>
      </c>
      <c r="I71" s="25" t="s">
        <v>1251</v>
      </c>
      <c r="J71" s="25" t="s">
        <v>1252</v>
      </c>
      <c r="K71" s="25" t="s">
        <v>1253</v>
      </c>
      <c r="L71" s="24"/>
    </row>
    <row r="72" spans="1:12" ht="15" customHeight="1">
      <c r="A72" s="24" t="str">
        <f t="shared" si="0"/>
        <v>EUR_HE05.4</v>
      </c>
      <c r="B72" s="24" t="s">
        <v>45</v>
      </c>
      <c r="C72" s="25" t="s">
        <v>1254</v>
      </c>
      <c r="D72" s="25" t="s">
        <v>1255</v>
      </c>
      <c r="E72" s="25" t="s">
        <v>934</v>
      </c>
      <c r="F72" s="25" t="s">
        <v>936</v>
      </c>
      <c r="G72" s="25" t="s">
        <v>937</v>
      </c>
      <c r="H72" s="25" t="s">
        <v>1256</v>
      </c>
      <c r="I72" s="25" t="s">
        <v>1257</v>
      </c>
      <c r="J72" s="25" t="s">
        <v>933</v>
      </c>
      <c r="K72" s="25" t="s">
        <v>933</v>
      </c>
      <c r="L72" s="24"/>
    </row>
    <row r="73" spans="1:12" ht="408" customHeight="1">
      <c r="A73" s="24" t="str">
        <f t="shared" ref="A73:A136" si="1">+"EUR_HE"&amp;D73</f>
        <v>EUR_HE05.4.0</v>
      </c>
      <c r="B73" s="24" t="s">
        <v>1258</v>
      </c>
      <c r="C73" s="25" t="s">
        <v>1259</v>
      </c>
      <c r="D73" s="25" t="s">
        <v>1260</v>
      </c>
      <c r="E73" s="25" t="s">
        <v>942</v>
      </c>
      <c r="F73" s="25" t="s">
        <v>943</v>
      </c>
      <c r="G73" s="25" t="s">
        <v>944</v>
      </c>
      <c r="H73" s="25" t="s">
        <v>1261</v>
      </c>
      <c r="I73" s="25" t="s">
        <v>1262</v>
      </c>
      <c r="J73" s="25" t="s">
        <v>1263</v>
      </c>
      <c r="K73" s="25" t="s">
        <v>1264</v>
      </c>
      <c r="L73" s="24"/>
    </row>
    <row r="74" spans="1:12" ht="15" customHeight="1">
      <c r="A74" s="24" t="str">
        <f t="shared" si="1"/>
        <v>EUR_HE05.5</v>
      </c>
      <c r="B74" s="24" t="s">
        <v>46</v>
      </c>
      <c r="C74" s="25" t="s">
        <v>1265</v>
      </c>
      <c r="D74" s="25" t="s">
        <v>1266</v>
      </c>
      <c r="E74" s="25" t="s">
        <v>934</v>
      </c>
      <c r="F74" s="25" t="s">
        <v>936</v>
      </c>
      <c r="G74" s="25" t="s">
        <v>937</v>
      </c>
      <c r="H74" s="25" t="s">
        <v>1267</v>
      </c>
      <c r="I74" s="25" t="s">
        <v>1268</v>
      </c>
      <c r="J74" s="25" t="s">
        <v>933</v>
      </c>
      <c r="K74" s="25" t="s">
        <v>933</v>
      </c>
      <c r="L74" s="24"/>
    </row>
    <row r="75" spans="1:12" ht="121.15" customHeight="1">
      <c r="A75" s="24" t="str">
        <f t="shared" si="1"/>
        <v>EUR_HE05.5.1</v>
      </c>
      <c r="B75" s="24" t="s">
        <v>122</v>
      </c>
      <c r="C75" s="25" t="s">
        <v>1269</v>
      </c>
      <c r="D75" s="25" t="s">
        <v>841</v>
      </c>
      <c r="E75" s="25" t="s">
        <v>942</v>
      </c>
      <c r="F75" s="25" t="s">
        <v>943</v>
      </c>
      <c r="G75" s="25" t="s">
        <v>944</v>
      </c>
      <c r="H75" s="25" t="s">
        <v>1270</v>
      </c>
      <c r="I75" s="25" t="s">
        <v>1271</v>
      </c>
      <c r="J75" s="25" t="s">
        <v>1272</v>
      </c>
      <c r="K75" s="25" t="s">
        <v>1273</v>
      </c>
      <c r="L75" s="24"/>
    </row>
    <row r="76" spans="1:12" ht="322.89999999999998" customHeight="1">
      <c r="A76" s="24" t="str">
        <f t="shared" si="1"/>
        <v>EUR_HE05.5.2</v>
      </c>
      <c r="B76" s="24" t="s">
        <v>123</v>
      </c>
      <c r="C76" s="25" t="s">
        <v>1274</v>
      </c>
      <c r="D76" s="25" t="s">
        <v>842</v>
      </c>
      <c r="E76" s="25" t="s">
        <v>942</v>
      </c>
      <c r="F76" s="25" t="s">
        <v>943</v>
      </c>
      <c r="G76" s="25" t="s">
        <v>944</v>
      </c>
      <c r="H76" s="25" t="s">
        <v>1275</v>
      </c>
      <c r="I76" s="25" t="s">
        <v>1276</v>
      </c>
      <c r="J76" s="25" t="s">
        <v>1277</v>
      </c>
      <c r="K76" s="25" t="s">
        <v>1278</v>
      </c>
      <c r="L76" s="24"/>
    </row>
    <row r="77" spans="1:12" ht="15" customHeight="1">
      <c r="A77" s="24" t="str">
        <f t="shared" si="1"/>
        <v>EUR_HE05.6</v>
      </c>
      <c r="B77" s="24" t="s">
        <v>47</v>
      </c>
      <c r="C77" s="25" t="s">
        <v>1279</v>
      </c>
      <c r="D77" s="25" t="s">
        <v>1280</v>
      </c>
      <c r="E77" s="25" t="s">
        <v>934</v>
      </c>
      <c r="F77" s="25" t="s">
        <v>936</v>
      </c>
      <c r="G77" s="25" t="s">
        <v>937</v>
      </c>
      <c r="H77" s="25" t="s">
        <v>1281</v>
      </c>
      <c r="I77" s="25" t="s">
        <v>1282</v>
      </c>
      <c r="J77" s="25" t="s">
        <v>933</v>
      </c>
      <c r="K77" s="25" t="s">
        <v>933</v>
      </c>
      <c r="L77" s="24"/>
    </row>
    <row r="78" spans="1:12" ht="409.6" customHeight="1">
      <c r="A78" s="24" t="str">
        <f t="shared" si="1"/>
        <v>EUR_HE05.6.1</v>
      </c>
      <c r="B78" s="24" t="s">
        <v>124</v>
      </c>
      <c r="C78" s="25" t="s">
        <v>1283</v>
      </c>
      <c r="D78" s="25" t="s">
        <v>843</v>
      </c>
      <c r="E78" s="25" t="s">
        <v>942</v>
      </c>
      <c r="F78" s="25" t="s">
        <v>943</v>
      </c>
      <c r="G78" s="25" t="s">
        <v>944</v>
      </c>
      <c r="H78" s="25" t="s">
        <v>1284</v>
      </c>
      <c r="I78" s="25" t="s">
        <v>1285</v>
      </c>
      <c r="J78" s="25" t="s">
        <v>1286</v>
      </c>
      <c r="K78" s="25" t="s">
        <v>1287</v>
      </c>
      <c r="L78" s="24"/>
    </row>
    <row r="79" spans="1:12" ht="409.6" customHeight="1">
      <c r="A79" s="24" t="str">
        <f t="shared" si="1"/>
        <v>EUR_HE05.6.2</v>
      </c>
      <c r="B79" s="24" t="s">
        <v>125</v>
      </c>
      <c r="C79" s="25" t="s">
        <v>1288</v>
      </c>
      <c r="D79" s="25" t="s">
        <v>844</v>
      </c>
      <c r="E79" s="25" t="s">
        <v>942</v>
      </c>
      <c r="F79" s="25" t="s">
        <v>943</v>
      </c>
      <c r="G79" s="25" t="s">
        <v>944</v>
      </c>
      <c r="H79" s="25" t="s">
        <v>1289</v>
      </c>
      <c r="I79" s="25" t="s">
        <v>1290</v>
      </c>
      <c r="J79" s="25" t="s">
        <v>1291</v>
      </c>
      <c r="K79" s="25" t="s">
        <v>1292</v>
      </c>
      <c r="L79" s="24"/>
    </row>
    <row r="80" spans="1:12" ht="46.15" customHeight="1">
      <c r="A80" s="24" t="str">
        <f t="shared" si="1"/>
        <v>EUR_HE06.</v>
      </c>
      <c r="B80" s="24" t="s">
        <v>23</v>
      </c>
      <c r="C80" s="25" t="s">
        <v>1293</v>
      </c>
      <c r="D80" s="25" t="s">
        <v>1294</v>
      </c>
      <c r="E80" s="25" t="s">
        <v>927</v>
      </c>
      <c r="F80" s="25" t="s">
        <v>929</v>
      </c>
      <c r="G80" s="25" t="s">
        <v>930</v>
      </c>
      <c r="H80" s="25" t="s">
        <v>1295</v>
      </c>
      <c r="I80" s="25" t="s">
        <v>1296</v>
      </c>
      <c r="J80" s="25" t="s">
        <v>1297</v>
      </c>
      <c r="K80" s="25" t="s">
        <v>1298</v>
      </c>
      <c r="L80" s="24"/>
    </row>
    <row r="81" spans="1:12" ht="247.9" customHeight="1">
      <c r="A81" s="24" t="str">
        <f t="shared" si="1"/>
        <v>EUR_HE06.1</v>
      </c>
      <c r="B81" s="24" t="s">
        <v>48</v>
      </c>
      <c r="C81" s="25" t="s">
        <v>1299</v>
      </c>
      <c r="D81" s="25" t="s">
        <v>1300</v>
      </c>
      <c r="E81" s="25" t="s">
        <v>934</v>
      </c>
      <c r="F81" s="25" t="s">
        <v>936</v>
      </c>
      <c r="G81" s="25" t="s">
        <v>937</v>
      </c>
      <c r="H81" s="25" t="s">
        <v>1301</v>
      </c>
      <c r="I81" s="25" t="s">
        <v>1302</v>
      </c>
      <c r="J81" s="25" t="s">
        <v>1303</v>
      </c>
      <c r="K81" s="25" t="s">
        <v>1304</v>
      </c>
      <c r="L81" s="24"/>
    </row>
    <row r="82" spans="1:12" ht="121.15" customHeight="1">
      <c r="A82" s="24" t="str">
        <f t="shared" si="1"/>
        <v>EUR_HE06.1.1</v>
      </c>
      <c r="B82" s="24" t="s">
        <v>126</v>
      </c>
      <c r="C82" s="25" t="s">
        <v>1305</v>
      </c>
      <c r="D82" s="25" t="s">
        <v>845</v>
      </c>
      <c r="E82" s="25" t="s">
        <v>942</v>
      </c>
      <c r="F82" s="25" t="s">
        <v>943</v>
      </c>
      <c r="G82" s="25" t="s">
        <v>944</v>
      </c>
      <c r="H82" s="25" t="s">
        <v>1306</v>
      </c>
      <c r="I82" s="25" t="s">
        <v>1307</v>
      </c>
      <c r="J82" s="25" t="s">
        <v>1308</v>
      </c>
      <c r="K82" s="25" t="s">
        <v>1309</v>
      </c>
      <c r="L82" s="24"/>
    </row>
    <row r="83" spans="1:12" ht="130.9" customHeight="1">
      <c r="A83" s="24" t="str">
        <f t="shared" si="1"/>
        <v>EUR_HE06.1.2</v>
      </c>
      <c r="B83" s="24" t="s">
        <v>127</v>
      </c>
      <c r="C83" s="25" t="s">
        <v>1310</v>
      </c>
      <c r="D83" s="25" t="s">
        <v>846</v>
      </c>
      <c r="E83" s="25" t="s">
        <v>942</v>
      </c>
      <c r="F83" s="25" t="s">
        <v>943</v>
      </c>
      <c r="G83" s="25" t="s">
        <v>944</v>
      </c>
      <c r="H83" s="25" t="s">
        <v>1311</v>
      </c>
      <c r="I83" s="25" t="s">
        <v>1312</v>
      </c>
      <c r="J83" s="25" t="s">
        <v>1313</v>
      </c>
      <c r="K83" s="25" t="s">
        <v>1314</v>
      </c>
      <c r="L83" s="24"/>
    </row>
    <row r="84" spans="1:12" ht="291" customHeight="1">
      <c r="A84" s="24" t="str">
        <f t="shared" si="1"/>
        <v>EUR_HE06.1.3</v>
      </c>
      <c r="B84" s="24" t="s">
        <v>128</v>
      </c>
      <c r="C84" s="25" t="s">
        <v>1315</v>
      </c>
      <c r="D84" s="25" t="s">
        <v>847</v>
      </c>
      <c r="E84" s="25" t="s">
        <v>942</v>
      </c>
      <c r="F84" s="25" t="s">
        <v>943</v>
      </c>
      <c r="G84" s="25" t="s">
        <v>944</v>
      </c>
      <c r="H84" s="25" t="s">
        <v>1316</v>
      </c>
      <c r="I84" s="25" t="s">
        <v>1317</v>
      </c>
      <c r="J84" s="25" t="s">
        <v>1318</v>
      </c>
      <c r="K84" s="25" t="s">
        <v>1319</v>
      </c>
      <c r="L84" s="24"/>
    </row>
    <row r="85" spans="1:12" ht="301.14999999999998" customHeight="1">
      <c r="A85" s="24" t="str">
        <f t="shared" si="1"/>
        <v>EUR_HE06.2</v>
      </c>
      <c r="B85" s="24" t="s">
        <v>49</v>
      </c>
      <c r="C85" s="25" t="s">
        <v>1320</v>
      </c>
      <c r="D85" s="25" t="s">
        <v>1321</v>
      </c>
      <c r="E85" s="25" t="s">
        <v>934</v>
      </c>
      <c r="F85" s="25" t="s">
        <v>936</v>
      </c>
      <c r="G85" s="25" t="s">
        <v>937</v>
      </c>
      <c r="H85" s="25" t="s">
        <v>1322</v>
      </c>
      <c r="I85" s="25" t="s">
        <v>1323</v>
      </c>
      <c r="J85" s="25" t="s">
        <v>1324</v>
      </c>
      <c r="K85" s="25" t="s">
        <v>1325</v>
      </c>
      <c r="L85" s="24"/>
    </row>
    <row r="86" spans="1:12" ht="121.15" customHeight="1">
      <c r="A86" s="24" t="str">
        <f t="shared" si="1"/>
        <v>EUR_HE06.2.1</v>
      </c>
      <c r="B86" s="24" t="s">
        <v>129</v>
      </c>
      <c r="C86" s="25" t="s">
        <v>1326</v>
      </c>
      <c r="D86" s="25" t="s">
        <v>849</v>
      </c>
      <c r="E86" s="25" t="s">
        <v>942</v>
      </c>
      <c r="F86" s="25" t="s">
        <v>943</v>
      </c>
      <c r="G86" s="25" t="s">
        <v>944</v>
      </c>
      <c r="H86" s="25" t="s">
        <v>1327</v>
      </c>
      <c r="I86" s="25" t="s">
        <v>1328</v>
      </c>
      <c r="J86" s="25" t="s">
        <v>1329</v>
      </c>
      <c r="K86" s="25" t="s">
        <v>1330</v>
      </c>
      <c r="L86" s="24"/>
    </row>
    <row r="87" spans="1:12" ht="109.9" customHeight="1">
      <c r="A87" s="24" t="str">
        <f t="shared" si="1"/>
        <v>EUR_HE06.2.2</v>
      </c>
      <c r="B87" s="24" t="s">
        <v>130</v>
      </c>
      <c r="C87" s="25" t="s">
        <v>1331</v>
      </c>
      <c r="D87" s="25" t="s">
        <v>850</v>
      </c>
      <c r="E87" s="25" t="s">
        <v>942</v>
      </c>
      <c r="F87" s="25" t="s">
        <v>943</v>
      </c>
      <c r="G87" s="25" t="s">
        <v>944</v>
      </c>
      <c r="H87" s="25" t="s">
        <v>1332</v>
      </c>
      <c r="I87" s="25" t="s">
        <v>1333</v>
      </c>
      <c r="J87" s="25" t="s">
        <v>1334</v>
      </c>
      <c r="K87" s="25" t="s">
        <v>1335</v>
      </c>
      <c r="L87" s="24"/>
    </row>
    <row r="88" spans="1:12" ht="216" customHeight="1">
      <c r="A88" s="24" t="str">
        <f t="shared" si="1"/>
        <v>EUR_HE06.2.3</v>
      </c>
      <c r="B88" s="24" t="s">
        <v>131</v>
      </c>
      <c r="C88" s="25" t="s">
        <v>1336</v>
      </c>
      <c r="D88" s="25" t="s">
        <v>851</v>
      </c>
      <c r="E88" s="25" t="s">
        <v>942</v>
      </c>
      <c r="F88" s="25" t="s">
        <v>943</v>
      </c>
      <c r="G88" s="25" t="s">
        <v>944</v>
      </c>
      <c r="H88" s="25" t="s">
        <v>1337</v>
      </c>
      <c r="I88" s="25" t="s">
        <v>1338</v>
      </c>
      <c r="J88" s="25" t="s">
        <v>1339</v>
      </c>
      <c r="K88" s="25" t="s">
        <v>1340</v>
      </c>
      <c r="L88" s="24"/>
    </row>
    <row r="89" spans="1:12" ht="409.6" customHeight="1">
      <c r="A89" s="24" t="str">
        <f t="shared" si="1"/>
        <v>EUR_HE06.3</v>
      </c>
      <c r="B89" s="24" t="s">
        <v>50</v>
      </c>
      <c r="C89" s="25" t="s">
        <v>1341</v>
      </c>
      <c r="D89" s="25" t="s">
        <v>1342</v>
      </c>
      <c r="E89" s="25" t="s">
        <v>934</v>
      </c>
      <c r="F89" s="25" t="s">
        <v>936</v>
      </c>
      <c r="G89" s="25" t="s">
        <v>937</v>
      </c>
      <c r="H89" s="25" t="s">
        <v>1343</v>
      </c>
      <c r="I89" s="25" t="s">
        <v>1344</v>
      </c>
      <c r="J89" s="25" t="s">
        <v>1345</v>
      </c>
      <c r="K89" s="25" t="s">
        <v>1346</v>
      </c>
      <c r="L89" s="24"/>
    </row>
    <row r="90" spans="1:12" ht="291" customHeight="1">
      <c r="A90" s="24" t="str">
        <f t="shared" si="1"/>
        <v>EUR_HE06.3.0</v>
      </c>
      <c r="B90" s="24" t="s">
        <v>1347</v>
      </c>
      <c r="C90" s="25" t="s">
        <v>1348</v>
      </c>
      <c r="D90" s="25" t="s">
        <v>1349</v>
      </c>
      <c r="E90" s="25" t="s">
        <v>942</v>
      </c>
      <c r="F90" s="25" t="s">
        <v>943</v>
      </c>
      <c r="G90" s="25" t="s">
        <v>944</v>
      </c>
      <c r="H90" s="25" t="s">
        <v>1350</v>
      </c>
      <c r="I90" s="25" t="s">
        <v>1351</v>
      </c>
      <c r="J90" s="25" t="s">
        <v>1352</v>
      </c>
      <c r="K90" s="25" t="s">
        <v>1353</v>
      </c>
      <c r="L90" s="24"/>
    </row>
    <row r="91" spans="1:12" ht="15" customHeight="1">
      <c r="A91" s="24" t="str">
        <f t="shared" si="1"/>
        <v>EUR_HE07.</v>
      </c>
      <c r="B91" s="24" t="s">
        <v>24</v>
      </c>
      <c r="C91" s="25" t="s">
        <v>1354</v>
      </c>
      <c r="D91" s="25" t="s">
        <v>1355</v>
      </c>
      <c r="E91" s="25" t="s">
        <v>927</v>
      </c>
      <c r="F91" s="25" t="s">
        <v>929</v>
      </c>
      <c r="G91" s="25" t="s">
        <v>930</v>
      </c>
      <c r="H91" s="25" t="s">
        <v>1356</v>
      </c>
      <c r="I91" s="25" t="s">
        <v>1357</v>
      </c>
      <c r="J91" s="25" t="s">
        <v>933</v>
      </c>
      <c r="K91" s="25" t="s">
        <v>933</v>
      </c>
      <c r="L91" s="24"/>
    </row>
    <row r="92" spans="1:12" ht="57" customHeight="1">
      <c r="A92" s="24" t="str">
        <f t="shared" si="1"/>
        <v>EUR_HE07.1</v>
      </c>
      <c r="B92" s="24" t="s">
        <v>51</v>
      </c>
      <c r="C92" s="25" t="s">
        <v>1358</v>
      </c>
      <c r="D92" s="25" t="s">
        <v>1359</v>
      </c>
      <c r="E92" s="25" t="s">
        <v>934</v>
      </c>
      <c r="F92" s="25" t="s">
        <v>936</v>
      </c>
      <c r="G92" s="25" t="s">
        <v>937</v>
      </c>
      <c r="H92" s="25" t="s">
        <v>1360</v>
      </c>
      <c r="I92" s="25" t="s">
        <v>1361</v>
      </c>
      <c r="J92" s="25" t="s">
        <v>1362</v>
      </c>
      <c r="K92" s="25" t="s">
        <v>1363</v>
      </c>
      <c r="L92" s="24"/>
    </row>
    <row r="93" spans="1:12" ht="88.9" customHeight="1">
      <c r="A93" s="24" t="str">
        <f t="shared" si="1"/>
        <v>EUR_HE07.1.1</v>
      </c>
      <c r="B93" s="24" t="s">
        <v>132</v>
      </c>
      <c r="C93" s="25" t="s">
        <v>1364</v>
      </c>
      <c r="D93" s="25" t="s">
        <v>853</v>
      </c>
      <c r="E93" s="25" t="s">
        <v>942</v>
      </c>
      <c r="F93" s="25" t="s">
        <v>943</v>
      </c>
      <c r="G93" s="25" t="s">
        <v>944</v>
      </c>
      <c r="H93" s="25" t="s">
        <v>1365</v>
      </c>
      <c r="I93" s="25" t="s">
        <v>1366</v>
      </c>
      <c r="J93" s="25" t="s">
        <v>1367</v>
      </c>
      <c r="K93" s="25" t="s">
        <v>1368</v>
      </c>
      <c r="L93" s="24"/>
    </row>
    <row r="94" spans="1:12" ht="67.150000000000006" customHeight="1">
      <c r="A94" s="24" t="str">
        <f t="shared" si="1"/>
        <v>EUR_HE07.1.2</v>
      </c>
      <c r="B94" s="24" t="s">
        <v>133</v>
      </c>
      <c r="C94" s="25" t="s">
        <v>1369</v>
      </c>
      <c r="D94" s="25" t="s">
        <v>854</v>
      </c>
      <c r="E94" s="25" t="s">
        <v>942</v>
      </c>
      <c r="F94" s="25" t="s">
        <v>943</v>
      </c>
      <c r="G94" s="25" t="s">
        <v>944</v>
      </c>
      <c r="H94" s="25" t="s">
        <v>1370</v>
      </c>
      <c r="I94" s="25" t="s">
        <v>1371</v>
      </c>
      <c r="J94" s="25" t="s">
        <v>1372</v>
      </c>
      <c r="K94" s="25" t="s">
        <v>1373</v>
      </c>
      <c r="L94" s="24"/>
    </row>
    <row r="95" spans="1:12" ht="57" customHeight="1">
      <c r="A95" s="24" t="str">
        <f t="shared" si="1"/>
        <v>EUR_HE07.1.3</v>
      </c>
      <c r="B95" s="24" t="s">
        <v>134</v>
      </c>
      <c r="C95" s="25" t="s">
        <v>1374</v>
      </c>
      <c r="D95" s="25" t="s">
        <v>855</v>
      </c>
      <c r="E95" s="25" t="s">
        <v>942</v>
      </c>
      <c r="F95" s="25" t="s">
        <v>943</v>
      </c>
      <c r="G95" s="25" t="s">
        <v>944</v>
      </c>
      <c r="H95" s="25" t="s">
        <v>1375</v>
      </c>
      <c r="I95" s="25" t="s">
        <v>1376</v>
      </c>
      <c r="J95" s="25" t="s">
        <v>1377</v>
      </c>
      <c r="K95" s="25" t="s">
        <v>1378</v>
      </c>
      <c r="L95" s="24"/>
    </row>
    <row r="96" spans="1:12" ht="121.15" customHeight="1">
      <c r="A96" s="24" t="str">
        <f t="shared" si="1"/>
        <v>EUR_HE07.1.4</v>
      </c>
      <c r="B96" s="24" t="s">
        <v>135</v>
      </c>
      <c r="C96" s="25" t="s">
        <v>1379</v>
      </c>
      <c r="D96" s="25" t="s">
        <v>1380</v>
      </c>
      <c r="E96" s="25" t="s">
        <v>942</v>
      </c>
      <c r="F96" s="25" t="s">
        <v>943</v>
      </c>
      <c r="G96" s="25" t="s">
        <v>944</v>
      </c>
      <c r="H96" s="25" t="s">
        <v>1381</v>
      </c>
      <c r="I96" s="25" t="s">
        <v>1382</v>
      </c>
      <c r="J96" s="25" t="s">
        <v>1383</v>
      </c>
      <c r="K96" s="25" t="s">
        <v>1384</v>
      </c>
      <c r="L96" s="24"/>
    </row>
    <row r="97" spans="1:12" ht="184.15" customHeight="1">
      <c r="A97" s="24" t="str">
        <f t="shared" si="1"/>
        <v>EUR_HE07.2</v>
      </c>
      <c r="B97" s="24" t="s">
        <v>52</v>
      </c>
      <c r="C97" s="25" t="s">
        <v>1385</v>
      </c>
      <c r="D97" s="25" t="s">
        <v>1386</v>
      </c>
      <c r="E97" s="25" t="s">
        <v>934</v>
      </c>
      <c r="F97" s="25" t="s">
        <v>936</v>
      </c>
      <c r="G97" s="25" t="s">
        <v>937</v>
      </c>
      <c r="H97" s="25" t="s">
        <v>1387</v>
      </c>
      <c r="I97" s="25" t="s">
        <v>1388</v>
      </c>
      <c r="J97" s="25" t="s">
        <v>1389</v>
      </c>
      <c r="K97" s="25" t="s">
        <v>1390</v>
      </c>
      <c r="L97" s="24"/>
    </row>
    <row r="98" spans="1:12" ht="355.15" customHeight="1">
      <c r="A98" s="24" t="str">
        <f t="shared" si="1"/>
        <v>EUR_HE07.2.1</v>
      </c>
      <c r="B98" s="24" t="s">
        <v>136</v>
      </c>
      <c r="C98" s="25" t="s">
        <v>1391</v>
      </c>
      <c r="D98" s="25" t="s">
        <v>856</v>
      </c>
      <c r="E98" s="25" t="s">
        <v>942</v>
      </c>
      <c r="F98" s="25" t="s">
        <v>943</v>
      </c>
      <c r="G98" s="25" t="s">
        <v>944</v>
      </c>
      <c r="H98" s="25" t="s">
        <v>1392</v>
      </c>
      <c r="I98" s="25" t="s">
        <v>1393</v>
      </c>
      <c r="J98" s="25" t="s">
        <v>1394</v>
      </c>
      <c r="K98" s="25" t="s">
        <v>1395</v>
      </c>
      <c r="L98" s="24"/>
    </row>
    <row r="99" spans="1:12" ht="163.15" customHeight="1">
      <c r="A99" s="24" t="str">
        <f t="shared" si="1"/>
        <v>EUR_HE07.2.2</v>
      </c>
      <c r="B99" s="24" t="s">
        <v>137</v>
      </c>
      <c r="C99" s="25" t="s">
        <v>1396</v>
      </c>
      <c r="D99" s="25" t="s">
        <v>857</v>
      </c>
      <c r="E99" s="25" t="s">
        <v>942</v>
      </c>
      <c r="F99" s="25" t="s">
        <v>943</v>
      </c>
      <c r="G99" s="25" t="s">
        <v>944</v>
      </c>
      <c r="H99" s="25" t="s">
        <v>1397</v>
      </c>
      <c r="I99" s="25" t="s">
        <v>1398</v>
      </c>
      <c r="J99" s="25" t="s">
        <v>1399</v>
      </c>
      <c r="K99" s="25" t="s">
        <v>1400</v>
      </c>
      <c r="L99" s="24"/>
    </row>
    <row r="100" spans="1:12" ht="259.14999999999998" customHeight="1">
      <c r="A100" s="24" t="str">
        <f t="shared" si="1"/>
        <v>EUR_HE07.2.3</v>
      </c>
      <c r="B100" s="24" t="s">
        <v>138</v>
      </c>
      <c r="C100" s="25" t="s">
        <v>1401</v>
      </c>
      <c r="D100" s="25" t="s">
        <v>858</v>
      </c>
      <c r="E100" s="25" t="s">
        <v>942</v>
      </c>
      <c r="F100" s="25" t="s">
        <v>943</v>
      </c>
      <c r="G100" s="25" t="s">
        <v>944</v>
      </c>
      <c r="H100" s="25" t="s">
        <v>1402</v>
      </c>
      <c r="I100" s="25" t="s">
        <v>1403</v>
      </c>
      <c r="J100" s="25" t="s">
        <v>1404</v>
      </c>
      <c r="K100" s="25" t="s">
        <v>1405</v>
      </c>
      <c r="L100" s="24"/>
    </row>
    <row r="101" spans="1:12" ht="205.9" customHeight="1">
      <c r="A101" s="24" t="str">
        <f t="shared" si="1"/>
        <v>EUR_HE07.2.4</v>
      </c>
      <c r="B101" s="24" t="s">
        <v>139</v>
      </c>
      <c r="C101" s="25" t="s">
        <v>1406</v>
      </c>
      <c r="D101" s="25" t="s">
        <v>859</v>
      </c>
      <c r="E101" s="25" t="s">
        <v>942</v>
      </c>
      <c r="F101" s="25" t="s">
        <v>943</v>
      </c>
      <c r="G101" s="25" t="s">
        <v>944</v>
      </c>
      <c r="H101" s="25" t="s">
        <v>1407</v>
      </c>
      <c r="I101" s="25" t="s">
        <v>1408</v>
      </c>
      <c r="J101" s="25" t="s">
        <v>1409</v>
      </c>
      <c r="K101" s="25" t="s">
        <v>1410</v>
      </c>
      <c r="L101" s="24"/>
    </row>
    <row r="102" spans="1:12" ht="291" customHeight="1">
      <c r="A102" s="24" t="str">
        <f t="shared" si="1"/>
        <v>EUR_HE07.3</v>
      </c>
      <c r="B102" s="24" t="s">
        <v>53</v>
      </c>
      <c r="C102" s="25" t="s">
        <v>1411</v>
      </c>
      <c r="D102" s="25" t="s">
        <v>1412</v>
      </c>
      <c r="E102" s="25" t="s">
        <v>934</v>
      </c>
      <c r="F102" s="25" t="s">
        <v>936</v>
      </c>
      <c r="G102" s="25" t="s">
        <v>937</v>
      </c>
      <c r="H102" s="25" t="s">
        <v>1413</v>
      </c>
      <c r="I102" s="25" t="s">
        <v>1414</v>
      </c>
      <c r="J102" s="25" t="s">
        <v>1415</v>
      </c>
      <c r="K102" s="25" t="s">
        <v>1416</v>
      </c>
      <c r="L102" s="24"/>
    </row>
    <row r="103" spans="1:12" ht="78" customHeight="1">
      <c r="A103" s="24" t="str">
        <f t="shared" si="1"/>
        <v>EUR_HE07.3.1</v>
      </c>
      <c r="B103" s="24" t="s">
        <v>140</v>
      </c>
      <c r="C103" s="25" t="s">
        <v>1417</v>
      </c>
      <c r="D103" s="25" t="s">
        <v>860</v>
      </c>
      <c r="E103" s="25" t="s">
        <v>942</v>
      </c>
      <c r="F103" s="25" t="s">
        <v>943</v>
      </c>
      <c r="G103" s="25" t="s">
        <v>944</v>
      </c>
      <c r="H103" s="25" t="s">
        <v>1418</v>
      </c>
      <c r="I103" s="25" t="s">
        <v>1419</v>
      </c>
      <c r="J103" s="25" t="s">
        <v>1420</v>
      </c>
      <c r="K103" s="25" t="s">
        <v>1421</v>
      </c>
      <c r="L103" s="24"/>
    </row>
    <row r="104" spans="1:12" ht="46.15" customHeight="1">
      <c r="A104" s="24" t="str">
        <f t="shared" si="1"/>
        <v>EUR_HE07.3.2</v>
      </c>
      <c r="B104" s="24" t="s">
        <v>141</v>
      </c>
      <c r="C104" s="25" t="s">
        <v>1422</v>
      </c>
      <c r="D104" s="25" t="s">
        <v>863</v>
      </c>
      <c r="E104" s="25" t="s">
        <v>942</v>
      </c>
      <c r="F104" s="25" t="s">
        <v>943</v>
      </c>
      <c r="G104" s="25" t="s">
        <v>944</v>
      </c>
      <c r="H104" s="25" t="s">
        <v>1423</v>
      </c>
      <c r="I104" s="25" t="s">
        <v>1424</v>
      </c>
      <c r="J104" s="25" t="s">
        <v>1425</v>
      </c>
      <c r="K104" s="25" t="s">
        <v>1426</v>
      </c>
      <c r="L104" s="24"/>
    </row>
    <row r="105" spans="1:12" ht="46.15" customHeight="1">
      <c r="A105" s="24" t="str">
        <f t="shared" si="1"/>
        <v>EUR_HE07.3.3</v>
      </c>
      <c r="B105" s="24" t="s">
        <v>142</v>
      </c>
      <c r="C105" s="25" t="s">
        <v>1427</v>
      </c>
      <c r="D105" s="25" t="s">
        <v>864</v>
      </c>
      <c r="E105" s="25" t="s">
        <v>942</v>
      </c>
      <c r="F105" s="25" t="s">
        <v>943</v>
      </c>
      <c r="G105" s="25" t="s">
        <v>944</v>
      </c>
      <c r="H105" s="25" t="s">
        <v>1428</v>
      </c>
      <c r="I105" s="25" t="s">
        <v>1429</v>
      </c>
      <c r="J105" s="25" t="s">
        <v>1430</v>
      </c>
      <c r="K105" s="25" t="s">
        <v>1431</v>
      </c>
      <c r="L105" s="24"/>
    </row>
    <row r="106" spans="1:12" ht="78" customHeight="1">
      <c r="A106" s="24" t="str">
        <f t="shared" si="1"/>
        <v>EUR_HE07.3.4</v>
      </c>
      <c r="B106" s="24" t="s">
        <v>143</v>
      </c>
      <c r="C106" s="25" t="s">
        <v>1432</v>
      </c>
      <c r="D106" s="25" t="s">
        <v>865</v>
      </c>
      <c r="E106" s="25" t="s">
        <v>942</v>
      </c>
      <c r="F106" s="25" t="s">
        <v>943</v>
      </c>
      <c r="G106" s="25" t="s">
        <v>944</v>
      </c>
      <c r="H106" s="25" t="s">
        <v>1433</v>
      </c>
      <c r="I106" s="25" t="s">
        <v>1434</v>
      </c>
      <c r="J106" s="25" t="s">
        <v>1435</v>
      </c>
      <c r="K106" s="25" t="s">
        <v>1436</v>
      </c>
      <c r="L106" s="24"/>
    </row>
    <row r="107" spans="1:12" ht="109.9" customHeight="1">
      <c r="A107" s="24" t="str">
        <f t="shared" si="1"/>
        <v>EUR_HE07.3.5</v>
      </c>
      <c r="B107" s="24" t="s">
        <v>144</v>
      </c>
      <c r="C107" s="25" t="s">
        <v>1437</v>
      </c>
      <c r="D107" s="25" t="s">
        <v>1438</v>
      </c>
      <c r="E107" s="25" t="s">
        <v>942</v>
      </c>
      <c r="F107" s="25" t="s">
        <v>943</v>
      </c>
      <c r="G107" s="25" t="s">
        <v>944</v>
      </c>
      <c r="H107" s="25" t="s">
        <v>1439</v>
      </c>
      <c r="I107" s="25" t="s">
        <v>1440</v>
      </c>
      <c r="J107" s="25" t="s">
        <v>1441</v>
      </c>
      <c r="K107" s="25" t="s">
        <v>1442</v>
      </c>
      <c r="L107" s="24"/>
    </row>
    <row r="108" spans="1:12" ht="130.9" customHeight="1">
      <c r="A108" s="24" t="str">
        <f t="shared" si="1"/>
        <v>EUR_HE07.3.6</v>
      </c>
      <c r="B108" s="24" t="s">
        <v>145</v>
      </c>
      <c r="C108" s="25" t="s">
        <v>1443</v>
      </c>
      <c r="D108" s="25" t="s">
        <v>866</v>
      </c>
      <c r="E108" s="25" t="s">
        <v>942</v>
      </c>
      <c r="F108" s="25" t="s">
        <v>943</v>
      </c>
      <c r="G108" s="25" t="s">
        <v>944</v>
      </c>
      <c r="H108" s="25" t="s">
        <v>1444</v>
      </c>
      <c r="I108" s="25" t="s">
        <v>1445</v>
      </c>
      <c r="J108" s="25" t="s">
        <v>1446</v>
      </c>
      <c r="K108" s="25" t="s">
        <v>1447</v>
      </c>
      <c r="L108" s="24"/>
    </row>
    <row r="109" spans="1:12" ht="15" customHeight="1">
      <c r="A109" s="24" t="str">
        <f t="shared" si="1"/>
        <v>EUR_HE08.</v>
      </c>
      <c r="B109" s="24" t="s">
        <v>25</v>
      </c>
      <c r="C109" s="25" t="s">
        <v>1448</v>
      </c>
      <c r="D109" s="25" t="s">
        <v>1449</v>
      </c>
      <c r="E109" s="25" t="s">
        <v>927</v>
      </c>
      <c r="F109" s="25" t="s">
        <v>929</v>
      </c>
      <c r="G109" s="25" t="s">
        <v>930</v>
      </c>
      <c r="H109" s="25" t="s">
        <v>1450</v>
      </c>
      <c r="I109" s="25" t="s">
        <v>1451</v>
      </c>
      <c r="J109" s="25" t="s">
        <v>933</v>
      </c>
      <c r="K109" s="25" t="s">
        <v>933</v>
      </c>
      <c r="L109" s="24"/>
    </row>
    <row r="110" spans="1:12" ht="15" customHeight="1">
      <c r="A110" s="24" t="str">
        <f t="shared" si="1"/>
        <v>EUR_HE08.1</v>
      </c>
      <c r="B110" s="24" t="s">
        <v>54</v>
      </c>
      <c r="C110" s="25" t="s">
        <v>1452</v>
      </c>
      <c r="D110" s="25" t="s">
        <v>1453</v>
      </c>
      <c r="E110" s="25" t="s">
        <v>934</v>
      </c>
      <c r="F110" s="25" t="s">
        <v>936</v>
      </c>
      <c r="G110" s="25" t="s">
        <v>937</v>
      </c>
      <c r="H110" s="25" t="s">
        <v>1454</v>
      </c>
      <c r="I110" s="25" t="s">
        <v>1455</v>
      </c>
      <c r="J110" s="25" t="s">
        <v>933</v>
      </c>
      <c r="K110" s="25" t="s">
        <v>933</v>
      </c>
      <c r="L110" s="24"/>
    </row>
    <row r="111" spans="1:12" ht="130.9" customHeight="1">
      <c r="A111" s="24" t="str">
        <f t="shared" si="1"/>
        <v>EUR_HE08.1.0</v>
      </c>
      <c r="B111" s="24" t="s">
        <v>1456</v>
      </c>
      <c r="C111" s="25" t="s">
        <v>1457</v>
      </c>
      <c r="D111" s="25" t="s">
        <v>1458</v>
      </c>
      <c r="E111" s="25" t="s">
        <v>942</v>
      </c>
      <c r="F111" s="25" t="s">
        <v>943</v>
      </c>
      <c r="G111" s="25" t="s">
        <v>944</v>
      </c>
      <c r="H111" s="25" t="s">
        <v>1459</v>
      </c>
      <c r="I111" s="25" t="s">
        <v>1460</v>
      </c>
      <c r="J111" s="25" t="s">
        <v>1461</v>
      </c>
      <c r="K111" s="25" t="s">
        <v>1462</v>
      </c>
      <c r="L111" s="24"/>
    </row>
    <row r="112" spans="1:12" ht="15" customHeight="1">
      <c r="A112" s="24" t="str">
        <f t="shared" si="1"/>
        <v>EUR_HE08.2</v>
      </c>
      <c r="B112" s="24" t="s">
        <v>55</v>
      </c>
      <c r="C112" s="25" t="s">
        <v>1463</v>
      </c>
      <c r="D112" s="25" t="s">
        <v>1464</v>
      </c>
      <c r="E112" s="25" t="s">
        <v>934</v>
      </c>
      <c r="F112" s="25" t="s">
        <v>936</v>
      </c>
      <c r="G112" s="25" t="s">
        <v>937</v>
      </c>
      <c r="H112" s="25" t="s">
        <v>1465</v>
      </c>
      <c r="I112" s="25" t="s">
        <v>1466</v>
      </c>
      <c r="J112" s="25" t="s">
        <v>933</v>
      </c>
      <c r="K112" s="25" t="s">
        <v>933</v>
      </c>
      <c r="L112" s="24"/>
    </row>
    <row r="113" spans="1:12" ht="121.15" customHeight="1">
      <c r="A113" s="24" t="str">
        <f t="shared" si="1"/>
        <v>EUR_HE08.2.0</v>
      </c>
      <c r="B113" s="24" t="s">
        <v>1467</v>
      </c>
      <c r="C113" s="25" t="s">
        <v>1468</v>
      </c>
      <c r="D113" s="25" t="s">
        <v>1469</v>
      </c>
      <c r="E113" s="25" t="s">
        <v>942</v>
      </c>
      <c r="F113" s="25" t="s">
        <v>943</v>
      </c>
      <c r="G113" s="25" t="s">
        <v>944</v>
      </c>
      <c r="H113" s="25" t="s">
        <v>1470</v>
      </c>
      <c r="I113" s="25" t="s">
        <v>1471</v>
      </c>
      <c r="J113" s="25" t="s">
        <v>1472</v>
      </c>
      <c r="K113" s="25" t="s">
        <v>1473</v>
      </c>
      <c r="L113" s="24"/>
    </row>
    <row r="114" spans="1:12" ht="15" customHeight="1">
      <c r="A114" s="24" t="str">
        <f t="shared" si="1"/>
        <v>EUR_HE08.3</v>
      </c>
      <c r="B114" s="24" t="s">
        <v>56</v>
      </c>
      <c r="C114" s="25" t="s">
        <v>1474</v>
      </c>
      <c r="D114" s="25" t="s">
        <v>1475</v>
      </c>
      <c r="E114" s="25" t="s">
        <v>934</v>
      </c>
      <c r="F114" s="25" t="s">
        <v>936</v>
      </c>
      <c r="G114" s="25" t="s">
        <v>937</v>
      </c>
      <c r="H114" s="25" t="s">
        <v>1476</v>
      </c>
      <c r="I114" s="25" t="s">
        <v>1477</v>
      </c>
      <c r="J114" s="25" t="s">
        <v>933</v>
      </c>
      <c r="K114" s="25" t="s">
        <v>933</v>
      </c>
      <c r="L114" s="24"/>
    </row>
    <row r="115" spans="1:12" ht="238.15" customHeight="1">
      <c r="A115" s="24" t="str">
        <f t="shared" si="1"/>
        <v>EUR_HE08.3.0</v>
      </c>
      <c r="B115" s="24" t="s">
        <v>1478</v>
      </c>
      <c r="C115" s="25" t="s">
        <v>1479</v>
      </c>
      <c r="D115" s="25" t="s">
        <v>1480</v>
      </c>
      <c r="E115" s="25" t="s">
        <v>942</v>
      </c>
      <c r="F115" s="25" t="s">
        <v>943</v>
      </c>
      <c r="G115" s="25" t="s">
        <v>944</v>
      </c>
      <c r="H115" s="25" t="s">
        <v>1481</v>
      </c>
      <c r="I115" s="25" t="s">
        <v>1482</v>
      </c>
      <c r="J115" s="25" t="s">
        <v>1483</v>
      </c>
      <c r="K115" s="25" t="s">
        <v>1484</v>
      </c>
      <c r="L115" s="24"/>
    </row>
    <row r="116" spans="1:12" ht="15" customHeight="1">
      <c r="A116" s="24" t="str">
        <f t="shared" si="1"/>
        <v>EUR_HE09.</v>
      </c>
      <c r="B116" s="24" t="s">
        <v>26</v>
      </c>
      <c r="C116" s="25" t="s">
        <v>1485</v>
      </c>
      <c r="D116" s="25" t="s">
        <v>1486</v>
      </c>
      <c r="E116" s="25" t="s">
        <v>927</v>
      </c>
      <c r="F116" s="25" t="s">
        <v>929</v>
      </c>
      <c r="G116" s="25" t="s">
        <v>930</v>
      </c>
      <c r="H116" s="25" t="s">
        <v>1487</v>
      </c>
      <c r="I116" s="25" t="s">
        <v>1488</v>
      </c>
      <c r="J116" s="25" t="s">
        <v>933</v>
      </c>
      <c r="K116" s="25" t="s">
        <v>933</v>
      </c>
      <c r="L116" s="24"/>
    </row>
    <row r="117" spans="1:12" ht="25.15" customHeight="1">
      <c r="A117" s="24" t="str">
        <f t="shared" si="1"/>
        <v>EUR_HE09.1</v>
      </c>
      <c r="B117" s="24" t="s">
        <v>57</v>
      </c>
      <c r="C117" s="25" t="s">
        <v>1489</v>
      </c>
      <c r="D117" s="25" t="s">
        <v>1490</v>
      </c>
      <c r="E117" s="25" t="s">
        <v>934</v>
      </c>
      <c r="F117" s="25" t="s">
        <v>936</v>
      </c>
      <c r="G117" s="25" t="s">
        <v>937</v>
      </c>
      <c r="H117" s="25" t="s">
        <v>1491</v>
      </c>
      <c r="I117" s="25" t="s">
        <v>1492</v>
      </c>
      <c r="J117" s="25" t="s">
        <v>933</v>
      </c>
      <c r="K117" s="25" t="s">
        <v>933</v>
      </c>
      <c r="L117" s="24"/>
    </row>
    <row r="118" spans="1:12" ht="226.9" customHeight="1">
      <c r="A118" s="24" t="str">
        <f t="shared" si="1"/>
        <v>EUR_HE09.1.1</v>
      </c>
      <c r="B118" s="24" t="s">
        <v>149</v>
      </c>
      <c r="C118" s="25" t="s">
        <v>1493</v>
      </c>
      <c r="D118" s="25" t="s">
        <v>870</v>
      </c>
      <c r="E118" s="25" t="s">
        <v>942</v>
      </c>
      <c r="F118" s="25" t="s">
        <v>943</v>
      </c>
      <c r="G118" s="25" t="s">
        <v>944</v>
      </c>
      <c r="H118" s="25" t="s">
        <v>1494</v>
      </c>
      <c r="I118" s="25" t="s">
        <v>1495</v>
      </c>
      <c r="J118" s="25" t="s">
        <v>1496</v>
      </c>
      <c r="K118" s="25" t="s">
        <v>1497</v>
      </c>
      <c r="L118" s="24"/>
    </row>
    <row r="119" spans="1:12" ht="142.15" customHeight="1">
      <c r="A119" s="24" t="str">
        <f t="shared" si="1"/>
        <v>EUR_HE09.1.2</v>
      </c>
      <c r="B119" s="24" t="s">
        <v>150</v>
      </c>
      <c r="C119" s="25" t="s">
        <v>1498</v>
      </c>
      <c r="D119" s="25" t="s">
        <v>871</v>
      </c>
      <c r="E119" s="25" t="s">
        <v>942</v>
      </c>
      <c r="F119" s="25" t="s">
        <v>943</v>
      </c>
      <c r="G119" s="25" t="s">
        <v>944</v>
      </c>
      <c r="H119" s="25" t="s">
        <v>1499</v>
      </c>
      <c r="I119" s="25" t="s">
        <v>1500</v>
      </c>
      <c r="J119" s="25" t="s">
        <v>1501</v>
      </c>
      <c r="K119" s="25" t="s">
        <v>1502</v>
      </c>
      <c r="L119" s="24"/>
    </row>
    <row r="120" spans="1:12" ht="205.9" customHeight="1">
      <c r="A120" s="24" t="str">
        <f t="shared" si="1"/>
        <v>EUR_HE09.1.3</v>
      </c>
      <c r="B120" s="24" t="s">
        <v>151</v>
      </c>
      <c r="C120" s="25" t="s">
        <v>1503</v>
      </c>
      <c r="D120" s="25" t="s">
        <v>872</v>
      </c>
      <c r="E120" s="25" t="s">
        <v>942</v>
      </c>
      <c r="F120" s="25" t="s">
        <v>943</v>
      </c>
      <c r="G120" s="25" t="s">
        <v>944</v>
      </c>
      <c r="H120" s="25" t="s">
        <v>1504</v>
      </c>
      <c r="I120" s="25" t="s">
        <v>1505</v>
      </c>
      <c r="J120" s="25" t="s">
        <v>1506</v>
      </c>
      <c r="K120" s="25" t="s">
        <v>1507</v>
      </c>
      <c r="L120" s="24"/>
    </row>
    <row r="121" spans="1:12" ht="355.15" customHeight="1">
      <c r="A121" s="24" t="str">
        <f t="shared" si="1"/>
        <v>EUR_HE09.1.4</v>
      </c>
      <c r="B121" s="24" t="s">
        <v>152</v>
      </c>
      <c r="C121" s="25" t="s">
        <v>1508</v>
      </c>
      <c r="D121" s="25" t="s">
        <v>873</v>
      </c>
      <c r="E121" s="25" t="s">
        <v>942</v>
      </c>
      <c r="F121" s="25" t="s">
        <v>943</v>
      </c>
      <c r="G121" s="25" t="s">
        <v>944</v>
      </c>
      <c r="H121" s="25" t="s">
        <v>1509</v>
      </c>
      <c r="I121" s="25" t="s">
        <v>1510</v>
      </c>
      <c r="J121" s="25" t="s">
        <v>1511</v>
      </c>
      <c r="K121" s="25" t="s">
        <v>1512</v>
      </c>
      <c r="L121" s="24"/>
    </row>
    <row r="122" spans="1:12" ht="151.9" customHeight="1">
      <c r="A122" s="24" t="str">
        <f t="shared" si="1"/>
        <v>EUR_HE09.1.5</v>
      </c>
      <c r="B122" s="24" t="s">
        <v>153</v>
      </c>
      <c r="C122" s="25" t="s">
        <v>1513</v>
      </c>
      <c r="D122" s="25" t="s">
        <v>874</v>
      </c>
      <c r="E122" s="25" t="s">
        <v>942</v>
      </c>
      <c r="F122" s="25" t="s">
        <v>943</v>
      </c>
      <c r="G122" s="25" t="s">
        <v>944</v>
      </c>
      <c r="H122" s="25" t="s">
        <v>1514</v>
      </c>
      <c r="I122" s="25" t="s">
        <v>1515</v>
      </c>
      <c r="J122" s="25" t="s">
        <v>1516</v>
      </c>
      <c r="K122" s="25" t="s">
        <v>1517</v>
      </c>
      <c r="L122" s="24"/>
    </row>
    <row r="123" spans="1:12" ht="25.15" customHeight="1">
      <c r="A123" s="24" t="str">
        <f t="shared" si="1"/>
        <v>EUR_HE09.2</v>
      </c>
      <c r="B123" s="24" t="s">
        <v>58</v>
      </c>
      <c r="C123" s="25" t="s">
        <v>1518</v>
      </c>
      <c r="D123" s="25" t="s">
        <v>1519</v>
      </c>
      <c r="E123" s="25" t="s">
        <v>934</v>
      </c>
      <c r="F123" s="25" t="s">
        <v>936</v>
      </c>
      <c r="G123" s="25" t="s">
        <v>937</v>
      </c>
      <c r="H123" s="25" t="s">
        <v>1520</v>
      </c>
      <c r="I123" s="25" t="s">
        <v>1521</v>
      </c>
      <c r="J123" s="25" t="s">
        <v>933</v>
      </c>
      <c r="K123" s="25" t="s">
        <v>933</v>
      </c>
      <c r="L123" s="24"/>
    </row>
    <row r="124" spans="1:12" ht="280.14999999999998" customHeight="1">
      <c r="A124" s="24" t="str">
        <f t="shared" si="1"/>
        <v>EUR_HE09.2.1</v>
      </c>
      <c r="B124" s="24" t="s">
        <v>154</v>
      </c>
      <c r="C124" s="25" t="s">
        <v>1522</v>
      </c>
      <c r="D124" s="25" t="s">
        <v>875</v>
      </c>
      <c r="E124" s="25" t="s">
        <v>942</v>
      </c>
      <c r="F124" s="25" t="s">
        <v>943</v>
      </c>
      <c r="G124" s="25" t="s">
        <v>944</v>
      </c>
      <c r="H124" s="25" t="s">
        <v>1523</v>
      </c>
      <c r="I124" s="25" t="s">
        <v>1524</v>
      </c>
      <c r="J124" s="25" t="s">
        <v>1525</v>
      </c>
      <c r="K124" s="25" t="s">
        <v>1526</v>
      </c>
      <c r="L124" s="24"/>
    </row>
    <row r="125" spans="1:12" ht="121.15" customHeight="1">
      <c r="A125" s="24" t="str">
        <f t="shared" si="1"/>
        <v>EUR_HE09.2.2</v>
      </c>
      <c r="B125" s="24" t="s">
        <v>155</v>
      </c>
      <c r="C125" s="25" t="s">
        <v>1527</v>
      </c>
      <c r="D125" s="25" t="s">
        <v>876</v>
      </c>
      <c r="E125" s="25" t="s">
        <v>942</v>
      </c>
      <c r="F125" s="25" t="s">
        <v>943</v>
      </c>
      <c r="G125" s="25" t="s">
        <v>944</v>
      </c>
      <c r="H125" s="25" t="s">
        <v>1528</v>
      </c>
      <c r="I125" s="25" t="s">
        <v>1529</v>
      </c>
      <c r="J125" s="25" t="s">
        <v>1530</v>
      </c>
      <c r="K125" s="25" t="s">
        <v>1531</v>
      </c>
      <c r="L125" s="24"/>
    </row>
    <row r="126" spans="1:12" ht="247.9" customHeight="1">
      <c r="A126" s="24" t="str">
        <f t="shared" si="1"/>
        <v>EUR_HE09.2.3</v>
      </c>
      <c r="B126" s="24" t="s">
        <v>156</v>
      </c>
      <c r="C126" s="25" t="s">
        <v>1532</v>
      </c>
      <c r="D126" s="25" t="s">
        <v>877</v>
      </c>
      <c r="E126" s="25" t="s">
        <v>942</v>
      </c>
      <c r="F126" s="25" t="s">
        <v>943</v>
      </c>
      <c r="G126" s="25" t="s">
        <v>944</v>
      </c>
      <c r="H126" s="25" t="s">
        <v>1533</v>
      </c>
      <c r="I126" s="25" t="s">
        <v>1534</v>
      </c>
      <c r="J126" s="25" t="s">
        <v>1535</v>
      </c>
      <c r="K126" s="25" t="s">
        <v>1536</v>
      </c>
      <c r="L126" s="24"/>
    </row>
    <row r="127" spans="1:12" ht="25.15" customHeight="1">
      <c r="A127" s="24" t="str">
        <f t="shared" si="1"/>
        <v>EUR_HE09.3</v>
      </c>
      <c r="B127" s="24" t="s">
        <v>59</v>
      </c>
      <c r="C127" s="25" t="s">
        <v>1537</v>
      </c>
      <c r="D127" s="25" t="s">
        <v>1538</v>
      </c>
      <c r="E127" s="25" t="s">
        <v>934</v>
      </c>
      <c r="F127" s="25" t="s">
        <v>936</v>
      </c>
      <c r="G127" s="25" t="s">
        <v>937</v>
      </c>
      <c r="H127" s="25" t="s">
        <v>1539</v>
      </c>
      <c r="I127" s="25" t="s">
        <v>1540</v>
      </c>
      <c r="J127" s="25" t="s">
        <v>933</v>
      </c>
      <c r="K127" s="25" t="s">
        <v>933</v>
      </c>
      <c r="L127" s="24"/>
    </row>
    <row r="128" spans="1:12" ht="376.15" customHeight="1">
      <c r="A128" s="24" t="str">
        <f t="shared" si="1"/>
        <v>EUR_HE09.3.1</v>
      </c>
      <c r="B128" s="24" t="s">
        <v>157</v>
      </c>
      <c r="C128" s="25" t="s">
        <v>1541</v>
      </c>
      <c r="D128" s="25" t="s">
        <v>878</v>
      </c>
      <c r="E128" s="25" t="s">
        <v>942</v>
      </c>
      <c r="F128" s="25" t="s">
        <v>943</v>
      </c>
      <c r="G128" s="25" t="s">
        <v>944</v>
      </c>
      <c r="H128" s="25" t="s">
        <v>1542</v>
      </c>
      <c r="I128" s="25" t="s">
        <v>1543</v>
      </c>
      <c r="J128" s="25" t="s">
        <v>1544</v>
      </c>
      <c r="K128" s="25" t="s">
        <v>1545</v>
      </c>
      <c r="L128" s="24"/>
    </row>
    <row r="129" spans="1:12" ht="409.6" customHeight="1">
      <c r="A129" s="24" t="str">
        <f t="shared" si="1"/>
        <v>EUR_HE09.3.2</v>
      </c>
      <c r="B129" s="24" t="s">
        <v>158</v>
      </c>
      <c r="C129" s="25" t="s">
        <v>1546</v>
      </c>
      <c r="D129" s="25" t="s">
        <v>879</v>
      </c>
      <c r="E129" s="25" t="s">
        <v>942</v>
      </c>
      <c r="F129" s="25" t="s">
        <v>943</v>
      </c>
      <c r="G129" s="25" t="s">
        <v>944</v>
      </c>
      <c r="H129" s="25" t="s">
        <v>1547</v>
      </c>
      <c r="I129" s="25" t="s">
        <v>1548</v>
      </c>
      <c r="J129" s="25" t="s">
        <v>1549</v>
      </c>
      <c r="K129" s="25" t="s">
        <v>1550</v>
      </c>
      <c r="L129" s="24"/>
    </row>
    <row r="130" spans="1:12" ht="174" customHeight="1">
      <c r="A130" s="24" t="str">
        <f t="shared" si="1"/>
        <v>EUR_HE09.3.3</v>
      </c>
      <c r="B130" s="24" t="s">
        <v>159</v>
      </c>
      <c r="C130" s="25" t="s">
        <v>1551</v>
      </c>
      <c r="D130" s="25" t="s">
        <v>880</v>
      </c>
      <c r="E130" s="25" t="s">
        <v>942</v>
      </c>
      <c r="F130" s="25" t="s">
        <v>943</v>
      </c>
      <c r="G130" s="25" t="s">
        <v>944</v>
      </c>
      <c r="H130" s="25" t="s">
        <v>1552</v>
      </c>
      <c r="I130" s="25" t="s">
        <v>1553</v>
      </c>
      <c r="J130" s="25" t="s">
        <v>1554</v>
      </c>
      <c r="K130" s="25" t="s">
        <v>1555</v>
      </c>
      <c r="L130" s="24"/>
    </row>
    <row r="131" spans="1:12" ht="99" customHeight="1">
      <c r="A131" s="24" t="str">
        <f t="shared" si="1"/>
        <v>EUR_HE09.3.4</v>
      </c>
      <c r="B131" s="24" t="s">
        <v>160</v>
      </c>
      <c r="C131" s="25" t="s">
        <v>1556</v>
      </c>
      <c r="D131" s="25" t="s">
        <v>883</v>
      </c>
      <c r="E131" s="25" t="s">
        <v>942</v>
      </c>
      <c r="F131" s="25" t="s">
        <v>943</v>
      </c>
      <c r="G131" s="25" t="s">
        <v>944</v>
      </c>
      <c r="H131" s="25" t="s">
        <v>1557</v>
      </c>
      <c r="I131" s="25" t="s">
        <v>1558</v>
      </c>
      <c r="J131" s="25" t="s">
        <v>1559</v>
      </c>
      <c r="K131" s="25" t="s">
        <v>1560</v>
      </c>
      <c r="L131" s="24"/>
    </row>
    <row r="132" spans="1:12" ht="46.15" customHeight="1">
      <c r="A132" s="24" t="str">
        <f t="shared" si="1"/>
        <v>EUR_HE09.3.5</v>
      </c>
      <c r="B132" s="24" t="s">
        <v>161</v>
      </c>
      <c r="C132" s="25" t="s">
        <v>1561</v>
      </c>
      <c r="D132" s="25" t="s">
        <v>884</v>
      </c>
      <c r="E132" s="25" t="s">
        <v>942</v>
      </c>
      <c r="F132" s="25" t="s">
        <v>943</v>
      </c>
      <c r="G132" s="25" t="s">
        <v>944</v>
      </c>
      <c r="H132" s="25" t="s">
        <v>1562</v>
      </c>
      <c r="I132" s="25" t="s">
        <v>1563</v>
      </c>
      <c r="J132" s="25" t="s">
        <v>1564</v>
      </c>
      <c r="K132" s="25" t="s">
        <v>1565</v>
      </c>
      <c r="L132" s="24"/>
    </row>
    <row r="133" spans="1:12" ht="15" customHeight="1">
      <c r="A133" s="24" t="str">
        <f t="shared" si="1"/>
        <v>EUR_HE09.4</v>
      </c>
      <c r="B133" s="24" t="s">
        <v>60</v>
      </c>
      <c r="C133" s="25" t="s">
        <v>1566</v>
      </c>
      <c r="D133" s="25" t="s">
        <v>1567</v>
      </c>
      <c r="E133" s="25" t="s">
        <v>934</v>
      </c>
      <c r="F133" s="25" t="s">
        <v>936</v>
      </c>
      <c r="G133" s="25" t="s">
        <v>937</v>
      </c>
      <c r="H133" s="25" t="s">
        <v>1568</v>
      </c>
      <c r="I133" s="25" t="s">
        <v>1569</v>
      </c>
      <c r="J133" s="25" t="s">
        <v>933</v>
      </c>
      <c r="K133" s="25" t="s">
        <v>933</v>
      </c>
      <c r="L133" s="24"/>
    </row>
    <row r="134" spans="1:12" ht="409.6" customHeight="1">
      <c r="A134" s="24" t="str">
        <f t="shared" si="1"/>
        <v>EUR_HE09.4.1</v>
      </c>
      <c r="B134" s="24" t="s">
        <v>162</v>
      </c>
      <c r="C134" s="25" t="s">
        <v>1570</v>
      </c>
      <c r="D134" s="25" t="s">
        <v>885</v>
      </c>
      <c r="E134" s="25" t="s">
        <v>942</v>
      </c>
      <c r="F134" s="25" t="s">
        <v>943</v>
      </c>
      <c r="G134" s="25" t="s">
        <v>944</v>
      </c>
      <c r="H134" s="25" t="s">
        <v>1571</v>
      </c>
      <c r="I134" s="25" t="s">
        <v>1572</v>
      </c>
      <c r="J134" s="25" t="s">
        <v>1573</v>
      </c>
      <c r="K134" s="25" t="s">
        <v>1574</v>
      </c>
      <c r="L134" s="24"/>
    </row>
    <row r="135" spans="1:12" ht="312" customHeight="1">
      <c r="A135" s="24" t="str">
        <f t="shared" si="1"/>
        <v>EUR_HE09.4.2</v>
      </c>
      <c r="B135" s="24" t="s">
        <v>163</v>
      </c>
      <c r="C135" s="25" t="s">
        <v>1575</v>
      </c>
      <c r="D135" s="25" t="s">
        <v>886</v>
      </c>
      <c r="E135" s="25" t="s">
        <v>942</v>
      </c>
      <c r="F135" s="25" t="s">
        <v>943</v>
      </c>
      <c r="G135" s="25" t="s">
        <v>944</v>
      </c>
      <c r="H135" s="25" t="s">
        <v>1576</v>
      </c>
      <c r="I135" s="25" t="s">
        <v>1577</v>
      </c>
      <c r="J135" s="25" t="s">
        <v>1578</v>
      </c>
      <c r="K135" s="25" t="s">
        <v>1579</v>
      </c>
      <c r="L135" s="24"/>
    </row>
    <row r="136" spans="1:12" ht="142.15" customHeight="1">
      <c r="A136" s="24" t="str">
        <f t="shared" si="1"/>
        <v>EUR_HE09.4.3</v>
      </c>
      <c r="B136" s="24" t="s">
        <v>164</v>
      </c>
      <c r="C136" s="25" t="s">
        <v>1580</v>
      </c>
      <c r="D136" s="25" t="s">
        <v>887</v>
      </c>
      <c r="E136" s="25" t="s">
        <v>942</v>
      </c>
      <c r="F136" s="25" t="s">
        <v>943</v>
      </c>
      <c r="G136" s="25" t="s">
        <v>944</v>
      </c>
      <c r="H136" s="25" t="s">
        <v>1581</v>
      </c>
      <c r="I136" s="25" t="s">
        <v>1582</v>
      </c>
      <c r="J136" s="25" t="s">
        <v>1583</v>
      </c>
      <c r="K136" s="25" t="s">
        <v>1584</v>
      </c>
      <c r="L136" s="24"/>
    </row>
    <row r="137" spans="1:12" ht="15" customHeight="1">
      <c r="A137" s="24" t="str">
        <f t="shared" ref="A137:A200" si="2">+"EUR_HE"&amp;D137</f>
        <v>EUR_HE09.5</v>
      </c>
      <c r="B137" s="24" t="s">
        <v>61</v>
      </c>
      <c r="C137" s="25" t="s">
        <v>1585</v>
      </c>
      <c r="D137" s="25" t="s">
        <v>1586</v>
      </c>
      <c r="E137" s="25" t="s">
        <v>934</v>
      </c>
      <c r="F137" s="25" t="s">
        <v>936</v>
      </c>
      <c r="G137" s="25" t="s">
        <v>937</v>
      </c>
      <c r="H137" s="25" t="s">
        <v>1587</v>
      </c>
      <c r="I137" s="25" t="s">
        <v>1588</v>
      </c>
      <c r="J137" s="25" t="s">
        <v>933</v>
      </c>
      <c r="K137" s="25" t="s">
        <v>933</v>
      </c>
      <c r="L137" s="24"/>
    </row>
    <row r="138" spans="1:12" ht="99" customHeight="1">
      <c r="A138" s="24" t="str">
        <f t="shared" si="2"/>
        <v>EUR_HE09.5.1</v>
      </c>
      <c r="B138" s="24" t="s">
        <v>165</v>
      </c>
      <c r="C138" s="25" t="s">
        <v>1589</v>
      </c>
      <c r="D138" s="25" t="s">
        <v>888</v>
      </c>
      <c r="E138" s="25" t="s">
        <v>942</v>
      </c>
      <c r="F138" s="25" t="s">
        <v>943</v>
      </c>
      <c r="G138" s="25" t="s">
        <v>944</v>
      </c>
      <c r="H138" s="25" t="s">
        <v>1590</v>
      </c>
      <c r="I138" s="25" t="s">
        <v>1591</v>
      </c>
      <c r="J138" s="25" t="s">
        <v>1592</v>
      </c>
      <c r="K138" s="25" t="s">
        <v>1593</v>
      </c>
      <c r="L138" s="24"/>
    </row>
    <row r="139" spans="1:12" ht="25.15" customHeight="1">
      <c r="A139" s="24" t="str">
        <f t="shared" si="2"/>
        <v>EUR_HE09.5.2</v>
      </c>
      <c r="B139" s="24" t="s">
        <v>166</v>
      </c>
      <c r="C139" s="25" t="s">
        <v>1594</v>
      </c>
      <c r="D139" s="25" t="s">
        <v>889</v>
      </c>
      <c r="E139" s="25" t="s">
        <v>942</v>
      </c>
      <c r="F139" s="25" t="s">
        <v>943</v>
      </c>
      <c r="G139" s="25" t="s">
        <v>944</v>
      </c>
      <c r="H139" s="25" t="s">
        <v>1595</v>
      </c>
      <c r="I139" s="25" t="s">
        <v>1596</v>
      </c>
      <c r="J139" s="25" t="s">
        <v>1597</v>
      </c>
      <c r="K139" s="25" t="s">
        <v>1598</v>
      </c>
      <c r="L139" s="24"/>
    </row>
    <row r="140" spans="1:12" ht="121.15" customHeight="1">
      <c r="A140" s="24" t="str">
        <f t="shared" si="2"/>
        <v>EUR_HE09.5.3</v>
      </c>
      <c r="B140" s="24" t="s">
        <v>167</v>
      </c>
      <c r="C140" s="25" t="s">
        <v>1599</v>
      </c>
      <c r="D140" s="25" t="s">
        <v>890</v>
      </c>
      <c r="E140" s="25" t="s">
        <v>942</v>
      </c>
      <c r="F140" s="25" t="s">
        <v>943</v>
      </c>
      <c r="G140" s="25" t="s">
        <v>944</v>
      </c>
      <c r="H140" s="25" t="s">
        <v>1600</v>
      </c>
      <c r="I140" s="25" t="s">
        <v>1601</v>
      </c>
      <c r="J140" s="25" t="s">
        <v>1602</v>
      </c>
      <c r="K140" s="25" t="s">
        <v>1603</v>
      </c>
      <c r="L140" s="24"/>
    </row>
    <row r="141" spans="1:12" ht="280.14999999999998" customHeight="1">
      <c r="A141" s="24" t="str">
        <f t="shared" si="2"/>
        <v>EUR_HE09.5.4</v>
      </c>
      <c r="B141" s="24" t="s">
        <v>168</v>
      </c>
      <c r="C141" s="25" t="s">
        <v>1604</v>
      </c>
      <c r="D141" s="25" t="s">
        <v>891</v>
      </c>
      <c r="E141" s="25" t="s">
        <v>942</v>
      </c>
      <c r="F141" s="25" t="s">
        <v>943</v>
      </c>
      <c r="G141" s="25" t="s">
        <v>944</v>
      </c>
      <c r="H141" s="25" t="s">
        <v>1605</v>
      </c>
      <c r="I141" s="25" t="s">
        <v>1606</v>
      </c>
      <c r="J141" s="25" t="s">
        <v>1607</v>
      </c>
      <c r="K141" s="25" t="s">
        <v>1608</v>
      </c>
      <c r="L141" s="24"/>
    </row>
    <row r="142" spans="1:12" ht="15" customHeight="1">
      <c r="A142" s="24" t="str">
        <f t="shared" si="2"/>
        <v>EUR_HE09.6</v>
      </c>
      <c r="B142" s="24" t="s">
        <v>62</v>
      </c>
      <c r="C142" s="25" t="s">
        <v>1609</v>
      </c>
      <c r="D142" s="25" t="s">
        <v>1610</v>
      </c>
      <c r="E142" s="25" t="s">
        <v>934</v>
      </c>
      <c r="F142" s="25" t="s">
        <v>936</v>
      </c>
      <c r="G142" s="25" t="s">
        <v>937</v>
      </c>
      <c r="H142" s="25" t="s">
        <v>1611</v>
      </c>
      <c r="I142" s="25" t="s">
        <v>1612</v>
      </c>
      <c r="J142" s="25" t="s">
        <v>933</v>
      </c>
      <c r="K142" s="25" t="s">
        <v>933</v>
      </c>
      <c r="L142" s="24"/>
    </row>
    <row r="143" spans="1:12" ht="78" customHeight="1">
      <c r="A143" s="24" t="str">
        <f t="shared" si="2"/>
        <v>EUR_HE09.6.0</v>
      </c>
      <c r="B143" s="24" t="s">
        <v>1613</v>
      </c>
      <c r="C143" s="25" t="s">
        <v>1614</v>
      </c>
      <c r="D143" s="25" t="s">
        <v>1615</v>
      </c>
      <c r="E143" s="25" t="s">
        <v>942</v>
      </c>
      <c r="F143" s="25" t="s">
        <v>943</v>
      </c>
      <c r="G143" s="25" t="s">
        <v>944</v>
      </c>
      <c r="H143" s="25" t="s">
        <v>1616</v>
      </c>
      <c r="I143" s="25" t="s">
        <v>1617</v>
      </c>
      <c r="J143" s="25" t="s">
        <v>1618</v>
      </c>
      <c r="K143" s="25" t="s">
        <v>1619</v>
      </c>
      <c r="L143" s="24"/>
    </row>
    <row r="144" spans="1:12" ht="280.14999999999998" customHeight="1">
      <c r="A144" s="24" t="str">
        <f t="shared" si="2"/>
        <v>EUR_HE10.</v>
      </c>
      <c r="B144" s="24" t="s">
        <v>27</v>
      </c>
      <c r="C144" s="25" t="s">
        <v>1620</v>
      </c>
      <c r="D144" s="25" t="s">
        <v>1621</v>
      </c>
      <c r="E144" s="25" t="s">
        <v>927</v>
      </c>
      <c r="F144" s="25" t="s">
        <v>929</v>
      </c>
      <c r="G144" s="25" t="s">
        <v>930</v>
      </c>
      <c r="H144" s="25" t="s">
        <v>1622</v>
      </c>
      <c r="I144" s="25" t="s">
        <v>1623</v>
      </c>
      <c r="J144" s="25" t="s">
        <v>1624</v>
      </c>
      <c r="K144" s="25" t="s">
        <v>1625</v>
      </c>
      <c r="L144" s="24"/>
    </row>
    <row r="145" spans="1:12" ht="15" customHeight="1">
      <c r="A145" s="24" t="str">
        <f t="shared" si="2"/>
        <v>EUR_HE10.1</v>
      </c>
      <c r="B145" s="24" t="s">
        <v>63</v>
      </c>
      <c r="C145" s="25" t="s">
        <v>1626</v>
      </c>
      <c r="D145" s="25" t="s">
        <v>1627</v>
      </c>
      <c r="E145" s="25" t="s">
        <v>934</v>
      </c>
      <c r="F145" s="25" t="s">
        <v>936</v>
      </c>
      <c r="G145" s="25" t="s">
        <v>937</v>
      </c>
      <c r="H145" s="25" t="s">
        <v>1628</v>
      </c>
      <c r="I145" s="25" t="s">
        <v>1629</v>
      </c>
      <c r="J145" s="25" t="s">
        <v>933</v>
      </c>
      <c r="K145" s="25" t="s">
        <v>933</v>
      </c>
      <c r="L145" s="24"/>
    </row>
    <row r="146" spans="1:12" ht="67.150000000000006" customHeight="1">
      <c r="A146" s="24" t="str">
        <f t="shared" si="2"/>
        <v>EUR_HE10.1.0</v>
      </c>
      <c r="B146" s="24" t="s">
        <v>1630</v>
      </c>
      <c r="C146" s="25" t="s">
        <v>1631</v>
      </c>
      <c r="D146" s="25" t="s">
        <v>1632</v>
      </c>
      <c r="E146" s="25" t="s">
        <v>942</v>
      </c>
      <c r="F146" s="25" t="s">
        <v>943</v>
      </c>
      <c r="G146" s="25" t="s">
        <v>944</v>
      </c>
      <c r="H146" s="25" t="s">
        <v>1633</v>
      </c>
      <c r="I146" s="25" t="s">
        <v>1634</v>
      </c>
      <c r="J146" s="25" t="s">
        <v>1635</v>
      </c>
      <c r="K146" s="25" t="s">
        <v>1636</v>
      </c>
      <c r="L146" s="24"/>
    </row>
    <row r="147" spans="1:12" ht="15" customHeight="1">
      <c r="A147" s="24" t="str">
        <f t="shared" si="2"/>
        <v>EUR_HE10.2</v>
      </c>
      <c r="B147" s="24" t="s">
        <v>64</v>
      </c>
      <c r="C147" s="25" t="s">
        <v>1637</v>
      </c>
      <c r="D147" s="25" t="s">
        <v>1638</v>
      </c>
      <c r="E147" s="25" t="s">
        <v>934</v>
      </c>
      <c r="F147" s="25" t="s">
        <v>936</v>
      </c>
      <c r="G147" s="25" t="s">
        <v>937</v>
      </c>
      <c r="H147" s="25" t="s">
        <v>1639</v>
      </c>
      <c r="I147" s="25" t="s">
        <v>1640</v>
      </c>
      <c r="J147" s="25" t="s">
        <v>933</v>
      </c>
      <c r="K147" s="25" t="s">
        <v>933</v>
      </c>
      <c r="L147" s="24"/>
    </row>
    <row r="148" spans="1:12" ht="78" customHeight="1">
      <c r="A148" s="24" t="str">
        <f t="shared" si="2"/>
        <v>EUR_HE10.2.0</v>
      </c>
      <c r="B148" s="24" t="s">
        <v>1641</v>
      </c>
      <c r="C148" s="25" t="s">
        <v>1642</v>
      </c>
      <c r="D148" s="25" t="s">
        <v>1643</v>
      </c>
      <c r="E148" s="25" t="s">
        <v>942</v>
      </c>
      <c r="F148" s="25" t="s">
        <v>943</v>
      </c>
      <c r="G148" s="25" t="s">
        <v>944</v>
      </c>
      <c r="H148" s="25" t="s">
        <v>1644</v>
      </c>
      <c r="I148" s="25" t="s">
        <v>1645</v>
      </c>
      <c r="J148" s="25" t="s">
        <v>1646</v>
      </c>
      <c r="K148" s="25" t="s">
        <v>1647</v>
      </c>
      <c r="L148" s="24"/>
    </row>
    <row r="149" spans="1:12" ht="25.15" customHeight="1">
      <c r="A149" s="24" t="str">
        <f t="shared" si="2"/>
        <v>EUR_HE10.3</v>
      </c>
      <c r="B149" s="24" t="s">
        <v>65</v>
      </c>
      <c r="C149" s="25" t="s">
        <v>1648</v>
      </c>
      <c r="D149" s="25" t="s">
        <v>1649</v>
      </c>
      <c r="E149" s="25" t="s">
        <v>934</v>
      </c>
      <c r="F149" s="25" t="s">
        <v>936</v>
      </c>
      <c r="G149" s="25" t="s">
        <v>937</v>
      </c>
      <c r="H149" s="25" t="s">
        <v>1650</v>
      </c>
      <c r="I149" s="25" t="s">
        <v>1651</v>
      </c>
      <c r="J149" s="25" t="s">
        <v>933</v>
      </c>
      <c r="K149" s="25" t="s">
        <v>933</v>
      </c>
      <c r="L149" s="24"/>
    </row>
    <row r="150" spans="1:12" ht="78" customHeight="1">
      <c r="A150" s="24" t="str">
        <f t="shared" si="2"/>
        <v>EUR_HE10.3.0</v>
      </c>
      <c r="B150" s="24" t="s">
        <v>1652</v>
      </c>
      <c r="C150" s="25" t="s">
        <v>1653</v>
      </c>
      <c r="D150" s="25" t="s">
        <v>1654</v>
      </c>
      <c r="E150" s="25" t="s">
        <v>942</v>
      </c>
      <c r="F150" s="25" t="s">
        <v>943</v>
      </c>
      <c r="G150" s="25" t="s">
        <v>944</v>
      </c>
      <c r="H150" s="25" t="s">
        <v>1655</v>
      </c>
      <c r="I150" s="25" t="s">
        <v>1656</v>
      </c>
      <c r="J150" s="25" t="s">
        <v>1657</v>
      </c>
      <c r="K150" s="25" t="s">
        <v>1658</v>
      </c>
      <c r="L150" s="24"/>
    </row>
    <row r="151" spans="1:12" ht="15" customHeight="1">
      <c r="A151" s="24" t="str">
        <f t="shared" si="2"/>
        <v>EUR_HE10.4</v>
      </c>
      <c r="B151" s="24" t="s">
        <v>66</v>
      </c>
      <c r="C151" s="25" t="s">
        <v>1659</v>
      </c>
      <c r="D151" s="25" t="s">
        <v>1660</v>
      </c>
      <c r="E151" s="25" t="s">
        <v>934</v>
      </c>
      <c r="F151" s="25" t="s">
        <v>936</v>
      </c>
      <c r="G151" s="25" t="s">
        <v>937</v>
      </c>
      <c r="H151" s="25" t="s">
        <v>1661</v>
      </c>
      <c r="I151" s="25" t="s">
        <v>1662</v>
      </c>
      <c r="J151" s="25" t="s">
        <v>933</v>
      </c>
      <c r="K151" s="25" t="s">
        <v>933</v>
      </c>
      <c r="L151" s="24"/>
    </row>
    <row r="152" spans="1:12" ht="34.9" customHeight="1">
      <c r="A152" s="24" t="str">
        <f t="shared" si="2"/>
        <v>EUR_HE10.4.0</v>
      </c>
      <c r="B152" s="24" t="s">
        <v>1663</v>
      </c>
      <c r="C152" s="25" t="s">
        <v>1664</v>
      </c>
      <c r="D152" s="25" t="s">
        <v>1665</v>
      </c>
      <c r="E152" s="25" t="s">
        <v>942</v>
      </c>
      <c r="F152" s="25" t="s">
        <v>943</v>
      </c>
      <c r="G152" s="25" t="s">
        <v>944</v>
      </c>
      <c r="H152" s="25" t="s">
        <v>1666</v>
      </c>
      <c r="I152" s="25" t="s">
        <v>1667</v>
      </c>
      <c r="J152" s="25" t="s">
        <v>1668</v>
      </c>
      <c r="K152" s="25" t="s">
        <v>1669</v>
      </c>
      <c r="L152" s="24"/>
    </row>
    <row r="153" spans="1:12" ht="15" customHeight="1">
      <c r="A153" s="24" t="str">
        <f t="shared" si="2"/>
        <v>EUR_HE10.5</v>
      </c>
      <c r="B153" s="24" t="s">
        <v>67</v>
      </c>
      <c r="C153" s="25" t="s">
        <v>1670</v>
      </c>
      <c r="D153" s="25" t="s">
        <v>1671</v>
      </c>
      <c r="E153" s="25" t="s">
        <v>934</v>
      </c>
      <c r="F153" s="25" t="s">
        <v>936</v>
      </c>
      <c r="G153" s="25" t="s">
        <v>937</v>
      </c>
      <c r="H153" s="25" t="s">
        <v>1672</v>
      </c>
      <c r="I153" s="25" t="s">
        <v>1673</v>
      </c>
      <c r="J153" s="25" t="s">
        <v>933</v>
      </c>
      <c r="K153" s="25" t="s">
        <v>933</v>
      </c>
      <c r="L153" s="24"/>
    </row>
    <row r="154" spans="1:12" ht="142.15" customHeight="1">
      <c r="A154" s="24" t="str">
        <f t="shared" si="2"/>
        <v>EUR_HE10.5.0</v>
      </c>
      <c r="B154" s="24" t="s">
        <v>1674</v>
      </c>
      <c r="C154" s="25" t="s">
        <v>1675</v>
      </c>
      <c r="D154" s="25" t="s">
        <v>1676</v>
      </c>
      <c r="E154" s="25" t="s">
        <v>942</v>
      </c>
      <c r="F154" s="25" t="s">
        <v>943</v>
      </c>
      <c r="G154" s="25" t="s">
        <v>944</v>
      </c>
      <c r="H154" s="25" t="s">
        <v>1677</v>
      </c>
      <c r="I154" s="25" t="s">
        <v>1678</v>
      </c>
      <c r="J154" s="25" t="s">
        <v>1679</v>
      </c>
      <c r="K154" s="25" t="s">
        <v>1680</v>
      </c>
      <c r="L154" s="24"/>
    </row>
    <row r="155" spans="1:12" ht="15" customHeight="1">
      <c r="A155" s="24" t="str">
        <f t="shared" si="2"/>
        <v>EUR_HE11.</v>
      </c>
      <c r="B155" s="24" t="s">
        <v>28</v>
      </c>
      <c r="C155" s="25" t="s">
        <v>1681</v>
      </c>
      <c r="D155" s="25" t="s">
        <v>1682</v>
      </c>
      <c r="E155" s="25" t="s">
        <v>927</v>
      </c>
      <c r="F155" s="25" t="s">
        <v>929</v>
      </c>
      <c r="G155" s="25" t="s">
        <v>930</v>
      </c>
      <c r="H155" s="25" t="s">
        <v>1683</v>
      </c>
      <c r="I155" s="25" t="s">
        <v>1684</v>
      </c>
      <c r="J155" s="25" t="s">
        <v>933</v>
      </c>
      <c r="K155" s="25" t="s">
        <v>933</v>
      </c>
      <c r="L155" s="24"/>
    </row>
    <row r="156" spans="1:12" ht="15" customHeight="1">
      <c r="A156" s="24" t="str">
        <f t="shared" si="2"/>
        <v>EUR_HE11.1</v>
      </c>
      <c r="B156" s="24" t="s">
        <v>68</v>
      </c>
      <c r="C156" s="25" t="s">
        <v>1685</v>
      </c>
      <c r="D156" s="25" t="s">
        <v>1686</v>
      </c>
      <c r="E156" s="25" t="s">
        <v>934</v>
      </c>
      <c r="F156" s="25" t="s">
        <v>936</v>
      </c>
      <c r="G156" s="25" t="s">
        <v>937</v>
      </c>
      <c r="H156" s="25" t="s">
        <v>1687</v>
      </c>
      <c r="I156" s="25" t="s">
        <v>1688</v>
      </c>
      <c r="J156" s="25" t="s">
        <v>933</v>
      </c>
      <c r="K156" s="25" t="s">
        <v>933</v>
      </c>
      <c r="L156" s="24"/>
    </row>
    <row r="157" spans="1:12" ht="409.6" customHeight="1">
      <c r="A157" s="24" t="str">
        <f t="shared" si="2"/>
        <v>EUR_HE11.1.1</v>
      </c>
      <c r="B157" s="24" t="s">
        <v>174</v>
      </c>
      <c r="C157" s="25" t="s">
        <v>1689</v>
      </c>
      <c r="D157" s="25" t="s">
        <v>893</v>
      </c>
      <c r="E157" s="25" t="s">
        <v>942</v>
      </c>
      <c r="F157" s="25" t="s">
        <v>943</v>
      </c>
      <c r="G157" s="25" t="s">
        <v>944</v>
      </c>
      <c r="H157" s="25" t="s">
        <v>1690</v>
      </c>
      <c r="I157" s="25" t="s">
        <v>1691</v>
      </c>
      <c r="J157" s="25" t="s">
        <v>1692</v>
      </c>
      <c r="K157" s="25" t="s">
        <v>1693</v>
      </c>
      <c r="L157" s="24"/>
    </row>
    <row r="158" spans="1:12" ht="130.9" customHeight="1">
      <c r="A158" s="24" t="str">
        <f t="shared" si="2"/>
        <v>EUR_HE11.1.2</v>
      </c>
      <c r="B158" s="24" t="s">
        <v>176</v>
      </c>
      <c r="C158" s="25" t="s">
        <v>1694</v>
      </c>
      <c r="D158" s="25" t="s">
        <v>894</v>
      </c>
      <c r="E158" s="25" t="s">
        <v>942</v>
      </c>
      <c r="F158" s="25" t="s">
        <v>943</v>
      </c>
      <c r="G158" s="25" t="s">
        <v>944</v>
      </c>
      <c r="H158" s="25" t="s">
        <v>1695</v>
      </c>
      <c r="I158" s="25" t="s">
        <v>1696</v>
      </c>
      <c r="J158" s="25" t="s">
        <v>1697</v>
      </c>
      <c r="K158" s="25" t="s">
        <v>1698</v>
      </c>
      <c r="L158" s="24"/>
    </row>
    <row r="159" spans="1:12" ht="15" customHeight="1">
      <c r="A159" s="24" t="str">
        <f t="shared" si="2"/>
        <v>EUR_HE11.2</v>
      </c>
      <c r="B159" s="24" t="s">
        <v>70</v>
      </c>
      <c r="C159" s="25" t="s">
        <v>1699</v>
      </c>
      <c r="D159" s="25" t="s">
        <v>1700</v>
      </c>
      <c r="E159" s="25" t="s">
        <v>934</v>
      </c>
      <c r="F159" s="25" t="s">
        <v>936</v>
      </c>
      <c r="G159" s="25" t="s">
        <v>937</v>
      </c>
      <c r="H159" s="25" t="s">
        <v>1701</v>
      </c>
      <c r="I159" s="25" t="s">
        <v>1702</v>
      </c>
      <c r="J159" s="25" t="s">
        <v>933</v>
      </c>
      <c r="K159" s="25" t="s">
        <v>933</v>
      </c>
      <c r="L159" s="24"/>
    </row>
    <row r="160" spans="1:12" ht="408" customHeight="1">
      <c r="A160" s="24" t="str">
        <f t="shared" si="2"/>
        <v>EUR_HE11.2.0</v>
      </c>
      <c r="B160" s="24" t="s">
        <v>1703</v>
      </c>
      <c r="C160" s="25" t="s">
        <v>1704</v>
      </c>
      <c r="D160" s="25" t="s">
        <v>1705</v>
      </c>
      <c r="E160" s="25" t="s">
        <v>942</v>
      </c>
      <c r="F160" s="25" t="s">
        <v>943</v>
      </c>
      <c r="G160" s="25" t="s">
        <v>944</v>
      </c>
      <c r="H160" s="25" t="s">
        <v>1706</v>
      </c>
      <c r="I160" s="25" t="s">
        <v>1707</v>
      </c>
      <c r="J160" s="25" t="s">
        <v>1708</v>
      </c>
      <c r="K160" s="25" t="s">
        <v>1709</v>
      </c>
      <c r="L160" s="24"/>
    </row>
    <row r="161" spans="1:12" ht="15" customHeight="1">
      <c r="A161" s="24" t="str">
        <f t="shared" si="2"/>
        <v>EUR_HE12.</v>
      </c>
      <c r="B161" s="24" t="s">
        <v>30</v>
      </c>
      <c r="C161" s="25" t="s">
        <v>1710</v>
      </c>
      <c r="D161" s="25" t="s">
        <v>1711</v>
      </c>
      <c r="E161" s="25" t="s">
        <v>927</v>
      </c>
      <c r="F161" s="25" t="s">
        <v>929</v>
      </c>
      <c r="G161" s="25" t="s">
        <v>930</v>
      </c>
      <c r="H161" s="25" t="s">
        <v>1712</v>
      </c>
      <c r="I161" s="25" t="s">
        <v>1713</v>
      </c>
      <c r="J161" s="25" t="s">
        <v>933</v>
      </c>
      <c r="K161" s="25" t="s">
        <v>933</v>
      </c>
      <c r="L161" s="24"/>
    </row>
    <row r="162" spans="1:12" ht="15" customHeight="1">
      <c r="A162" s="24" t="str">
        <f t="shared" si="2"/>
        <v>EUR_HE12.1</v>
      </c>
      <c r="B162" s="24" t="s">
        <v>79</v>
      </c>
      <c r="C162" s="25" t="s">
        <v>1714</v>
      </c>
      <c r="D162" s="25" t="s">
        <v>1715</v>
      </c>
      <c r="E162" s="25" t="s">
        <v>934</v>
      </c>
      <c r="F162" s="25" t="s">
        <v>936</v>
      </c>
      <c r="G162" s="25" t="s">
        <v>937</v>
      </c>
      <c r="H162" s="25" t="s">
        <v>1716</v>
      </c>
      <c r="I162" s="25" t="s">
        <v>1717</v>
      </c>
      <c r="J162" s="25" t="s">
        <v>933</v>
      </c>
      <c r="K162" s="25" t="s">
        <v>933</v>
      </c>
      <c r="L162" s="24"/>
    </row>
    <row r="163" spans="1:12" ht="121.15" customHeight="1">
      <c r="A163" s="24" t="str">
        <f t="shared" si="2"/>
        <v>EUR_HE12.1.1</v>
      </c>
      <c r="B163" s="24" t="s">
        <v>233</v>
      </c>
      <c r="C163" s="25" t="s">
        <v>1718</v>
      </c>
      <c r="D163" s="25" t="s">
        <v>895</v>
      </c>
      <c r="E163" s="25" t="s">
        <v>942</v>
      </c>
      <c r="F163" s="25" t="s">
        <v>943</v>
      </c>
      <c r="G163" s="25" t="s">
        <v>944</v>
      </c>
      <c r="H163" s="25" t="s">
        <v>1719</v>
      </c>
      <c r="I163" s="25" t="s">
        <v>1720</v>
      </c>
      <c r="J163" s="25" t="s">
        <v>1721</v>
      </c>
      <c r="K163" s="25" t="s">
        <v>1722</v>
      </c>
      <c r="L163" s="24"/>
    </row>
    <row r="164" spans="1:12" ht="99" customHeight="1">
      <c r="A164" s="24" t="str">
        <f t="shared" si="2"/>
        <v>EUR_HE12.1.2</v>
      </c>
      <c r="B164" s="24" t="s">
        <v>235</v>
      </c>
      <c r="C164" s="25" t="s">
        <v>1723</v>
      </c>
      <c r="D164" s="25" t="s">
        <v>896</v>
      </c>
      <c r="E164" s="25" t="s">
        <v>942</v>
      </c>
      <c r="F164" s="25" t="s">
        <v>943</v>
      </c>
      <c r="G164" s="25" t="s">
        <v>944</v>
      </c>
      <c r="H164" s="25" t="s">
        <v>1724</v>
      </c>
      <c r="I164" s="25" t="s">
        <v>1725</v>
      </c>
      <c r="J164" s="25" t="s">
        <v>1726</v>
      </c>
      <c r="K164" s="25" t="s">
        <v>1727</v>
      </c>
      <c r="L164" s="24"/>
    </row>
    <row r="165" spans="1:12" ht="387" customHeight="1">
      <c r="A165" s="24" t="str">
        <f t="shared" si="2"/>
        <v>EUR_HE12.1.3</v>
      </c>
      <c r="B165" s="24" t="s">
        <v>237</v>
      </c>
      <c r="C165" s="25" t="s">
        <v>1728</v>
      </c>
      <c r="D165" s="25" t="s">
        <v>897</v>
      </c>
      <c r="E165" s="25" t="s">
        <v>942</v>
      </c>
      <c r="F165" s="25" t="s">
        <v>943</v>
      </c>
      <c r="G165" s="25" t="s">
        <v>944</v>
      </c>
      <c r="H165" s="25" t="s">
        <v>1729</v>
      </c>
      <c r="I165" s="25" t="s">
        <v>1730</v>
      </c>
      <c r="J165" s="25" t="s">
        <v>1731</v>
      </c>
      <c r="K165" s="25" t="s">
        <v>1732</v>
      </c>
      <c r="L165" s="24"/>
    </row>
    <row r="166" spans="1:12" ht="15" customHeight="1">
      <c r="A166" s="24" t="str">
        <f t="shared" si="2"/>
        <v>EUR_HE12.2</v>
      </c>
      <c r="B166" s="24" t="s">
        <v>81</v>
      </c>
      <c r="C166" s="25" t="s">
        <v>1733</v>
      </c>
      <c r="D166" s="25" t="s">
        <v>1734</v>
      </c>
      <c r="E166" s="25" t="s">
        <v>934</v>
      </c>
      <c r="F166" s="25" t="s">
        <v>936</v>
      </c>
      <c r="G166" s="25" t="s">
        <v>937</v>
      </c>
      <c r="H166" s="25" t="s">
        <v>1735</v>
      </c>
      <c r="I166" s="25" t="s">
        <v>1736</v>
      </c>
      <c r="J166" s="25" t="s">
        <v>933</v>
      </c>
      <c r="K166" s="25" t="s">
        <v>933</v>
      </c>
      <c r="L166" s="24"/>
    </row>
    <row r="167" spans="1:12" ht="25.15" customHeight="1">
      <c r="A167" s="24" t="str">
        <f t="shared" si="2"/>
        <v>EUR_HE12.2.0</v>
      </c>
      <c r="B167" s="24" t="s">
        <v>1737</v>
      </c>
      <c r="C167" s="25" t="s">
        <v>1738</v>
      </c>
      <c r="D167" s="25" t="s">
        <v>1739</v>
      </c>
      <c r="E167" s="25" t="s">
        <v>942</v>
      </c>
      <c r="F167" s="25" t="s">
        <v>943</v>
      </c>
      <c r="G167" s="25" t="s">
        <v>944</v>
      </c>
      <c r="H167" s="25" t="s">
        <v>1740</v>
      </c>
      <c r="I167" s="25" t="s">
        <v>1741</v>
      </c>
      <c r="J167" s="25" t="s">
        <v>1742</v>
      </c>
      <c r="K167" s="25" t="s">
        <v>1743</v>
      </c>
      <c r="L167" s="24"/>
    </row>
    <row r="168" spans="1:12" ht="15" customHeight="1">
      <c r="A168" s="24" t="str">
        <f t="shared" si="2"/>
        <v>EUR_HE12.3</v>
      </c>
      <c r="B168" s="24" t="s">
        <v>83</v>
      </c>
      <c r="C168" s="25" t="s">
        <v>1744</v>
      </c>
      <c r="D168" s="25" t="s">
        <v>1745</v>
      </c>
      <c r="E168" s="25" t="s">
        <v>934</v>
      </c>
      <c r="F168" s="25" t="s">
        <v>936</v>
      </c>
      <c r="G168" s="25" t="s">
        <v>937</v>
      </c>
      <c r="H168" s="25" t="s">
        <v>1746</v>
      </c>
      <c r="I168" s="25" t="s">
        <v>1747</v>
      </c>
      <c r="J168" s="25" t="s">
        <v>933</v>
      </c>
      <c r="K168" s="25" t="s">
        <v>933</v>
      </c>
      <c r="L168" s="24"/>
    </row>
    <row r="169" spans="1:12" ht="195" customHeight="1">
      <c r="A169" s="24" t="str">
        <f t="shared" si="2"/>
        <v>EUR_HE12.3.1</v>
      </c>
      <c r="B169" s="24" t="s">
        <v>244</v>
      </c>
      <c r="C169" s="25" t="s">
        <v>1748</v>
      </c>
      <c r="D169" s="25" t="s">
        <v>898</v>
      </c>
      <c r="E169" s="25" t="s">
        <v>942</v>
      </c>
      <c r="F169" s="25" t="s">
        <v>943</v>
      </c>
      <c r="G169" s="25" t="s">
        <v>944</v>
      </c>
      <c r="H169" s="25" t="s">
        <v>1749</v>
      </c>
      <c r="I169" s="25" t="s">
        <v>1750</v>
      </c>
      <c r="J169" s="25" t="s">
        <v>1751</v>
      </c>
      <c r="K169" s="25" t="s">
        <v>1752</v>
      </c>
      <c r="L169" s="24"/>
    </row>
    <row r="170" spans="1:12" ht="312" customHeight="1">
      <c r="A170" s="24" t="str">
        <f t="shared" si="2"/>
        <v>EUR_HE12.3.2</v>
      </c>
      <c r="B170" s="24" t="s">
        <v>245</v>
      </c>
      <c r="C170" s="25" t="s">
        <v>1753</v>
      </c>
      <c r="D170" s="25" t="s">
        <v>899</v>
      </c>
      <c r="E170" s="25" t="s">
        <v>942</v>
      </c>
      <c r="F170" s="25" t="s">
        <v>943</v>
      </c>
      <c r="G170" s="25" t="s">
        <v>944</v>
      </c>
      <c r="H170" s="25" t="s">
        <v>1754</v>
      </c>
      <c r="I170" s="25" t="s">
        <v>1755</v>
      </c>
      <c r="J170" s="25" t="s">
        <v>1756</v>
      </c>
      <c r="K170" s="25" t="s">
        <v>1757</v>
      </c>
      <c r="L170" s="24"/>
    </row>
    <row r="171" spans="1:12" ht="184.15" customHeight="1">
      <c r="A171" s="24" t="str">
        <f t="shared" si="2"/>
        <v>EUR_HE12.4</v>
      </c>
      <c r="B171" s="24" t="s">
        <v>84</v>
      </c>
      <c r="C171" s="25" t="s">
        <v>1758</v>
      </c>
      <c r="D171" s="25" t="s">
        <v>1759</v>
      </c>
      <c r="E171" s="25" t="s">
        <v>934</v>
      </c>
      <c r="F171" s="25" t="s">
        <v>936</v>
      </c>
      <c r="G171" s="25" t="s">
        <v>937</v>
      </c>
      <c r="H171" s="25" t="s">
        <v>1760</v>
      </c>
      <c r="I171" s="25" t="s">
        <v>1761</v>
      </c>
      <c r="J171" s="25" t="s">
        <v>1762</v>
      </c>
      <c r="K171" s="25" t="s">
        <v>1763</v>
      </c>
      <c r="L171" s="24"/>
    </row>
    <row r="172" spans="1:12" ht="355.15" customHeight="1">
      <c r="A172" s="24" t="str">
        <f t="shared" si="2"/>
        <v>EUR_HE12.4.0</v>
      </c>
      <c r="B172" s="24" t="s">
        <v>1764</v>
      </c>
      <c r="C172" s="25" t="s">
        <v>1765</v>
      </c>
      <c r="D172" s="25" t="s">
        <v>1766</v>
      </c>
      <c r="E172" s="25" t="s">
        <v>942</v>
      </c>
      <c r="F172" s="25" t="s">
        <v>943</v>
      </c>
      <c r="G172" s="25" t="s">
        <v>944</v>
      </c>
      <c r="H172" s="25" t="s">
        <v>1767</v>
      </c>
      <c r="I172" s="25" t="s">
        <v>1768</v>
      </c>
      <c r="J172" s="25" t="s">
        <v>1769</v>
      </c>
      <c r="K172" s="25" t="s">
        <v>1770</v>
      </c>
      <c r="L172" s="24"/>
    </row>
    <row r="173" spans="1:12" ht="226.9" customHeight="1">
      <c r="A173" s="24" t="str">
        <f t="shared" si="2"/>
        <v>EUR_HE12.5</v>
      </c>
      <c r="B173" s="24" t="s">
        <v>85</v>
      </c>
      <c r="C173" s="25" t="s">
        <v>1771</v>
      </c>
      <c r="D173" s="25" t="s">
        <v>1772</v>
      </c>
      <c r="E173" s="25" t="s">
        <v>934</v>
      </c>
      <c r="F173" s="25" t="s">
        <v>936</v>
      </c>
      <c r="G173" s="25" t="s">
        <v>937</v>
      </c>
      <c r="H173" s="25" t="s">
        <v>1773</v>
      </c>
      <c r="I173" s="25" t="s">
        <v>1774</v>
      </c>
      <c r="J173" s="25" t="s">
        <v>1775</v>
      </c>
      <c r="K173" s="25" t="s">
        <v>1776</v>
      </c>
      <c r="L173" s="24"/>
    </row>
    <row r="174" spans="1:12" ht="46.15" customHeight="1">
      <c r="A174" s="24" t="str">
        <f t="shared" si="2"/>
        <v>EUR_HE12.5.1</v>
      </c>
      <c r="B174" s="24" t="s">
        <v>900</v>
      </c>
      <c r="C174" s="25" t="s">
        <v>1777</v>
      </c>
      <c r="D174" s="25" t="s">
        <v>901</v>
      </c>
      <c r="E174" s="25" t="s">
        <v>942</v>
      </c>
      <c r="F174" s="25" t="s">
        <v>943</v>
      </c>
      <c r="G174" s="25" t="s">
        <v>944</v>
      </c>
      <c r="H174" s="25" t="s">
        <v>1778</v>
      </c>
      <c r="I174" s="25" t="s">
        <v>1779</v>
      </c>
      <c r="J174" s="25" t="s">
        <v>1780</v>
      </c>
      <c r="K174" s="25" t="s">
        <v>1781</v>
      </c>
      <c r="L174" s="24"/>
    </row>
    <row r="175" spans="1:12" ht="130.9" customHeight="1">
      <c r="A175" s="24" t="str">
        <f t="shared" si="2"/>
        <v>EUR_HE12.5.2</v>
      </c>
      <c r="B175" s="24" t="s">
        <v>247</v>
      </c>
      <c r="C175" s="25" t="s">
        <v>1782</v>
      </c>
      <c r="D175" s="25" t="s">
        <v>903</v>
      </c>
      <c r="E175" s="25" t="s">
        <v>942</v>
      </c>
      <c r="F175" s="25" t="s">
        <v>943</v>
      </c>
      <c r="G175" s="25" t="s">
        <v>944</v>
      </c>
      <c r="H175" s="25" t="s">
        <v>1783</v>
      </c>
      <c r="I175" s="25" t="s">
        <v>1784</v>
      </c>
      <c r="J175" s="25" t="s">
        <v>1785</v>
      </c>
      <c r="K175" s="25" t="s">
        <v>1786</v>
      </c>
      <c r="L175" s="24"/>
    </row>
    <row r="176" spans="1:12" ht="34.9" customHeight="1">
      <c r="A176" s="24" t="str">
        <f t="shared" si="2"/>
        <v>EUR_HE12.5.3</v>
      </c>
      <c r="B176" s="24" t="s">
        <v>248</v>
      </c>
      <c r="C176" s="25" t="s">
        <v>1787</v>
      </c>
      <c r="D176" s="25" t="s">
        <v>904</v>
      </c>
      <c r="E176" s="25" t="s">
        <v>942</v>
      </c>
      <c r="F176" s="25" t="s">
        <v>943</v>
      </c>
      <c r="G176" s="25" t="s">
        <v>944</v>
      </c>
      <c r="H176" s="25" t="s">
        <v>1788</v>
      </c>
      <c r="I176" s="25" t="s">
        <v>1789</v>
      </c>
      <c r="J176" s="25" t="s">
        <v>1790</v>
      </c>
      <c r="K176" s="25" t="s">
        <v>1791</v>
      </c>
      <c r="L176" s="24"/>
    </row>
    <row r="177" spans="1:12" ht="78" customHeight="1">
      <c r="A177" s="24" t="str">
        <f t="shared" si="2"/>
        <v>EUR_HE12.5.4</v>
      </c>
      <c r="B177" s="24" t="s">
        <v>249</v>
      </c>
      <c r="C177" s="25" t="s">
        <v>1792</v>
      </c>
      <c r="D177" s="25" t="s">
        <v>905</v>
      </c>
      <c r="E177" s="25" t="s">
        <v>942</v>
      </c>
      <c r="F177" s="25" t="s">
        <v>943</v>
      </c>
      <c r="G177" s="25" t="s">
        <v>944</v>
      </c>
      <c r="H177" s="25" t="s">
        <v>1793</v>
      </c>
      <c r="I177" s="25" t="s">
        <v>1794</v>
      </c>
      <c r="J177" s="25" t="s">
        <v>1795</v>
      </c>
      <c r="K177" s="25" t="s">
        <v>1796</v>
      </c>
      <c r="L177" s="24"/>
    </row>
    <row r="178" spans="1:12" ht="121.15" customHeight="1">
      <c r="A178" s="24" t="str">
        <f t="shared" si="2"/>
        <v>EUR_HE12.5.5</v>
      </c>
      <c r="B178" s="24" t="s">
        <v>250</v>
      </c>
      <c r="C178" s="25" t="s">
        <v>1797</v>
      </c>
      <c r="D178" s="25" t="s">
        <v>906</v>
      </c>
      <c r="E178" s="25" t="s">
        <v>942</v>
      </c>
      <c r="F178" s="25" t="s">
        <v>943</v>
      </c>
      <c r="G178" s="25" t="s">
        <v>944</v>
      </c>
      <c r="H178" s="25" t="s">
        <v>1798</v>
      </c>
      <c r="I178" s="25" t="s">
        <v>1799</v>
      </c>
      <c r="J178" s="25" t="s">
        <v>1800</v>
      </c>
      <c r="K178" s="25" t="s">
        <v>1801</v>
      </c>
      <c r="L178" s="24"/>
    </row>
    <row r="179" spans="1:12" ht="15" customHeight="1">
      <c r="A179" s="24" t="str">
        <f t="shared" si="2"/>
        <v>EUR_HE12.6</v>
      </c>
      <c r="B179" s="24" t="s">
        <v>86</v>
      </c>
      <c r="C179" s="25" t="s">
        <v>1802</v>
      </c>
      <c r="D179" s="25" t="s">
        <v>1803</v>
      </c>
      <c r="E179" s="25" t="s">
        <v>934</v>
      </c>
      <c r="F179" s="25" t="s">
        <v>936</v>
      </c>
      <c r="G179" s="25" t="s">
        <v>937</v>
      </c>
      <c r="H179" s="25" t="s">
        <v>1804</v>
      </c>
      <c r="I179" s="25" t="s">
        <v>1805</v>
      </c>
      <c r="J179" s="25" t="s">
        <v>933</v>
      </c>
      <c r="K179" s="25" t="s">
        <v>933</v>
      </c>
      <c r="L179" s="24"/>
    </row>
    <row r="180" spans="1:12" ht="34.9" customHeight="1">
      <c r="A180" s="24" t="str">
        <f t="shared" si="2"/>
        <v>EUR_HE12.6.1</v>
      </c>
      <c r="B180" s="24" t="s">
        <v>907</v>
      </c>
      <c r="C180" s="25" t="s">
        <v>1806</v>
      </c>
      <c r="D180" s="25" t="s">
        <v>908</v>
      </c>
      <c r="E180" s="25" t="s">
        <v>942</v>
      </c>
      <c r="F180" s="25" t="s">
        <v>943</v>
      </c>
      <c r="G180" s="25" t="s">
        <v>944</v>
      </c>
      <c r="H180" s="25" t="s">
        <v>1807</v>
      </c>
      <c r="I180" s="25" t="s">
        <v>1808</v>
      </c>
      <c r="J180" s="25" t="s">
        <v>1809</v>
      </c>
      <c r="K180" s="25" t="s">
        <v>1810</v>
      </c>
      <c r="L180" s="24"/>
    </row>
    <row r="181" spans="1:12" ht="130.9" customHeight="1">
      <c r="A181" s="24" t="str">
        <f t="shared" si="2"/>
        <v>EUR_HE12.6.2</v>
      </c>
      <c r="B181" s="24" t="s">
        <v>251</v>
      </c>
      <c r="C181" s="25" t="s">
        <v>1811</v>
      </c>
      <c r="D181" s="25" t="s">
        <v>909</v>
      </c>
      <c r="E181" s="25" t="s">
        <v>942</v>
      </c>
      <c r="F181" s="25" t="s">
        <v>943</v>
      </c>
      <c r="G181" s="25" t="s">
        <v>944</v>
      </c>
      <c r="H181" s="25" t="s">
        <v>1812</v>
      </c>
      <c r="I181" s="25" t="s">
        <v>1813</v>
      </c>
      <c r="J181" s="25" t="s">
        <v>1814</v>
      </c>
      <c r="K181" s="25" t="s">
        <v>1815</v>
      </c>
      <c r="L181" s="24"/>
    </row>
    <row r="182" spans="1:12" ht="15" customHeight="1">
      <c r="A182" s="24" t="str">
        <f t="shared" si="2"/>
        <v>EUR_HE12.7</v>
      </c>
      <c r="B182" s="24" t="s">
        <v>87</v>
      </c>
      <c r="C182" s="25" t="s">
        <v>1816</v>
      </c>
      <c r="D182" s="25" t="s">
        <v>1817</v>
      </c>
      <c r="E182" s="25" t="s">
        <v>934</v>
      </c>
      <c r="F182" s="25" t="s">
        <v>936</v>
      </c>
      <c r="G182" s="25" t="s">
        <v>937</v>
      </c>
      <c r="H182" s="25" t="s">
        <v>1818</v>
      </c>
      <c r="I182" s="25" t="s">
        <v>1819</v>
      </c>
      <c r="J182" s="25" t="s">
        <v>933</v>
      </c>
      <c r="K182" s="25" t="s">
        <v>933</v>
      </c>
      <c r="L182" s="24"/>
    </row>
    <row r="183" spans="1:12" ht="301.14999999999998" customHeight="1">
      <c r="A183" s="24" t="str">
        <f t="shared" si="2"/>
        <v>EUR_HE12.7.0</v>
      </c>
      <c r="B183" s="24" t="s">
        <v>1820</v>
      </c>
      <c r="C183" s="25" t="s">
        <v>1821</v>
      </c>
      <c r="D183" s="25" t="s">
        <v>1822</v>
      </c>
      <c r="E183" s="25" t="s">
        <v>942</v>
      </c>
      <c r="F183" s="25" t="s">
        <v>943</v>
      </c>
      <c r="G183" s="25" t="s">
        <v>944</v>
      </c>
      <c r="H183" s="25" t="s">
        <v>1823</v>
      </c>
      <c r="I183" s="25" t="s">
        <v>1824</v>
      </c>
      <c r="J183" s="25" t="s">
        <v>1825</v>
      </c>
      <c r="K183" s="25" t="s">
        <v>1826</v>
      </c>
      <c r="L183" s="24"/>
    </row>
    <row r="184" spans="1:12" ht="25.15" customHeight="1">
      <c r="A184" s="24" t="str">
        <f t="shared" si="2"/>
        <v>EUR_HE13.</v>
      </c>
      <c r="B184" s="24" t="s">
        <v>1827</v>
      </c>
      <c r="C184" s="25" t="s">
        <v>1828</v>
      </c>
      <c r="D184" s="25" t="s">
        <v>1829</v>
      </c>
      <c r="E184" s="25" t="s">
        <v>927</v>
      </c>
      <c r="F184" s="25" t="s">
        <v>929</v>
      </c>
      <c r="G184" s="25" t="s">
        <v>930</v>
      </c>
      <c r="H184" s="25" t="s">
        <v>1830</v>
      </c>
      <c r="I184" s="25" t="s">
        <v>1831</v>
      </c>
      <c r="J184" s="25" t="s">
        <v>933</v>
      </c>
      <c r="K184" s="25" t="s">
        <v>933</v>
      </c>
      <c r="L184" s="24"/>
    </row>
    <row r="185" spans="1:12" ht="121.15" customHeight="1">
      <c r="A185" s="24" t="str">
        <f t="shared" si="2"/>
        <v>EUR_HE13.1</v>
      </c>
      <c r="B185" s="24" t="s">
        <v>1832</v>
      </c>
      <c r="C185" s="25" t="s">
        <v>1833</v>
      </c>
      <c r="D185" s="25" t="s">
        <v>1834</v>
      </c>
      <c r="E185" s="25" t="s">
        <v>934</v>
      </c>
      <c r="F185" s="25" t="s">
        <v>936</v>
      </c>
      <c r="G185" s="25" t="s">
        <v>937</v>
      </c>
      <c r="H185" s="25" t="s">
        <v>1835</v>
      </c>
      <c r="I185" s="25" t="s">
        <v>1836</v>
      </c>
      <c r="J185" s="25" t="s">
        <v>1837</v>
      </c>
      <c r="K185" s="25" t="s">
        <v>1838</v>
      </c>
      <c r="L185" s="24"/>
    </row>
    <row r="186" spans="1:12" ht="34.9" customHeight="1">
      <c r="A186" s="24" t="str">
        <f t="shared" si="2"/>
        <v>EUR_HE13.1.0</v>
      </c>
      <c r="B186" s="24" t="s">
        <v>1839</v>
      </c>
      <c r="C186" s="25" t="s">
        <v>1840</v>
      </c>
      <c r="D186" s="25" t="s">
        <v>1841</v>
      </c>
      <c r="E186" s="25" t="s">
        <v>942</v>
      </c>
      <c r="F186" s="25" t="s">
        <v>943</v>
      </c>
      <c r="G186" s="25" t="s">
        <v>944</v>
      </c>
      <c r="H186" s="25" t="s">
        <v>1842</v>
      </c>
      <c r="I186" s="25" t="s">
        <v>1843</v>
      </c>
      <c r="J186" s="25" t="s">
        <v>1844</v>
      </c>
      <c r="K186" s="25" t="s">
        <v>1845</v>
      </c>
      <c r="L186" s="24"/>
    </row>
    <row r="187" spans="1:12" ht="121.15" customHeight="1">
      <c r="A187" s="24" t="str">
        <f t="shared" si="2"/>
        <v>EUR_HE13.2</v>
      </c>
      <c r="B187" s="24" t="s">
        <v>1846</v>
      </c>
      <c r="C187" s="25" t="s">
        <v>1847</v>
      </c>
      <c r="D187" s="25" t="s">
        <v>1848</v>
      </c>
      <c r="E187" s="25" t="s">
        <v>934</v>
      </c>
      <c r="F187" s="25" t="s">
        <v>936</v>
      </c>
      <c r="G187" s="25" t="s">
        <v>937</v>
      </c>
      <c r="H187" s="25" t="s">
        <v>1295</v>
      </c>
      <c r="I187" s="25" t="s">
        <v>1296</v>
      </c>
      <c r="J187" s="25" t="s">
        <v>1849</v>
      </c>
      <c r="K187" s="25" t="s">
        <v>1850</v>
      </c>
      <c r="L187" s="24"/>
    </row>
    <row r="188" spans="1:12" ht="34.9" customHeight="1">
      <c r="A188" s="24" t="str">
        <f t="shared" si="2"/>
        <v>EUR_HE13.2.1</v>
      </c>
      <c r="B188" s="24" t="s">
        <v>1851</v>
      </c>
      <c r="C188" s="25" t="s">
        <v>1852</v>
      </c>
      <c r="D188" s="25" t="s">
        <v>1853</v>
      </c>
      <c r="E188" s="25" t="s">
        <v>942</v>
      </c>
      <c r="F188" s="25" t="s">
        <v>943</v>
      </c>
      <c r="G188" s="25" t="s">
        <v>944</v>
      </c>
      <c r="H188" s="25" t="s">
        <v>1306</v>
      </c>
      <c r="I188" s="25" t="s">
        <v>1307</v>
      </c>
      <c r="J188" s="25" t="s">
        <v>1854</v>
      </c>
      <c r="K188" s="25" t="s">
        <v>1855</v>
      </c>
      <c r="L188" s="24"/>
    </row>
    <row r="189" spans="1:12" ht="34.9" customHeight="1">
      <c r="A189" s="24" t="str">
        <f t="shared" si="2"/>
        <v>EUR_HE13.2.2</v>
      </c>
      <c r="B189" s="24" t="s">
        <v>1856</v>
      </c>
      <c r="C189" s="25" t="s">
        <v>1857</v>
      </c>
      <c r="D189" s="25" t="s">
        <v>1858</v>
      </c>
      <c r="E189" s="25" t="s">
        <v>942</v>
      </c>
      <c r="F189" s="25" t="s">
        <v>943</v>
      </c>
      <c r="G189" s="25" t="s">
        <v>944</v>
      </c>
      <c r="H189" s="25" t="s">
        <v>1311</v>
      </c>
      <c r="I189" s="25" t="s">
        <v>1312</v>
      </c>
      <c r="J189" s="25" t="s">
        <v>1859</v>
      </c>
      <c r="K189" s="25" t="s">
        <v>1860</v>
      </c>
      <c r="L189" s="24"/>
    </row>
    <row r="190" spans="1:12" ht="34.9" customHeight="1">
      <c r="A190" s="24" t="str">
        <f t="shared" si="2"/>
        <v>EUR_HE13.2.3</v>
      </c>
      <c r="B190" s="24" t="s">
        <v>1861</v>
      </c>
      <c r="C190" s="25" t="s">
        <v>1862</v>
      </c>
      <c r="D190" s="25" t="s">
        <v>1863</v>
      </c>
      <c r="E190" s="25" t="s">
        <v>942</v>
      </c>
      <c r="F190" s="25" t="s">
        <v>943</v>
      </c>
      <c r="G190" s="25" t="s">
        <v>944</v>
      </c>
      <c r="H190" s="25" t="s">
        <v>1864</v>
      </c>
      <c r="I190" s="25" t="s">
        <v>1317</v>
      </c>
      <c r="J190" s="25" t="s">
        <v>1865</v>
      </c>
      <c r="K190" s="25" t="s">
        <v>1866</v>
      </c>
      <c r="L190" s="24"/>
    </row>
    <row r="191" spans="1:12" ht="34.9" customHeight="1">
      <c r="A191" s="24" t="str">
        <f t="shared" si="2"/>
        <v>EUR_HE13.2.4</v>
      </c>
      <c r="B191" s="24" t="s">
        <v>1867</v>
      </c>
      <c r="C191" s="25" t="s">
        <v>1868</v>
      </c>
      <c r="D191" s="25" t="s">
        <v>1869</v>
      </c>
      <c r="E191" s="25" t="s">
        <v>942</v>
      </c>
      <c r="F191" s="25" t="s">
        <v>943</v>
      </c>
      <c r="G191" s="25" t="s">
        <v>944</v>
      </c>
      <c r="H191" s="25" t="s">
        <v>1870</v>
      </c>
      <c r="I191" s="25" t="s">
        <v>1871</v>
      </c>
      <c r="J191" s="25" t="s">
        <v>1872</v>
      </c>
      <c r="K191" s="25" t="s">
        <v>1873</v>
      </c>
      <c r="L191" s="24"/>
    </row>
    <row r="192" spans="1:12" ht="34.9" customHeight="1">
      <c r="A192" s="24" t="str">
        <f t="shared" si="2"/>
        <v>EUR_HE13.2.5</v>
      </c>
      <c r="B192" s="24" t="s">
        <v>1874</v>
      </c>
      <c r="C192" s="25" t="s">
        <v>1875</v>
      </c>
      <c r="D192" s="25" t="s">
        <v>1876</v>
      </c>
      <c r="E192" s="25" t="s">
        <v>942</v>
      </c>
      <c r="F192" s="25" t="s">
        <v>943</v>
      </c>
      <c r="G192" s="25" t="s">
        <v>944</v>
      </c>
      <c r="H192" s="25" t="s">
        <v>1877</v>
      </c>
      <c r="I192" s="25" t="s">
        <v>1878</v>
      </c>
      <c r="J192" s="25" t="s">
        <v>1879</v>
      </c>
      <c r="K192" s="25" t="s">
        <v>1880</v>
      </c>
      <c r="L192" s="24"/>
    </row>
    <row r="193" spans="1:12" ht="34.9" customHeight="1">
      <c r="A193" s="24" t="str">
        <f t="shared" si="2"/>
        <v>EUR_HE13.2.6</v>
      </c>
      <c r="B193" s="24" t="s">
        <v>1881</v>
      </c>
      <c r="C193" s="25" t="s">
        <v>1882</v>
      </c>
      <c r="D193" s="25" t="s">
        <v>1883</v>
      </c>
      <c r="E193" s="25" t="s">
        <v>942</v>
      </c>
      <c r="F193" s="25" t="s">
        <v>943</v>
      </c>
      <c r="G193" s="25" t="s">
        <v>944</v>
      </c>
      <c r="H193" s="25" t="s">
        <v>1884</v>
      </c>
      <c r="I193" s="25" t="s">
        <v>1885</v>
      </c>
      <c r="J193" s="25" t="s">
        <v>1886</v>
      </c>
      <c r="K193" s="25" t="s">
        <v>1887</v>
      </c>
      <c r="L193" s="24"/>
    </row>
    <row r="194" spans="1:12" ht="34.9" customHeight="1">
      <c r="A194" s="24" t="str">
        <f t="shared" si="2"/>
        <v>EUR_HE13.2.7</v>
      </c>
      <c r="B194" s="24" t="s">
        <v>1888</v>
      </c>
      <c r="C194" s="25" t="s">
        <v>1889</v>
      </c>
      <c r="D194" s="25" t="s">
        <v>1890</v>
      </c>
      <c r="E194" s="25" t="s">
        <v>942</v>
      </c>
      <c r="F194" s="25" t="s">
        <v>943</v>
      </c>
      <c r="G194" s="25" t="s">
        <v>944</v>
      </c>
      <c r="H194" s="25" t="s">
        <v>1350</v>
      </c>
      <c r="I194" s="25" t="s">
        <v>1351</v>
      </c>
      <c r="J194" s="25" t="s">
        <v>1891</v>
      </c>
      <c r="K194" s="25" t="s">
        <v>1892</v>
      </c>
      <c r="L194" s="24"/>
    </row>
    <row r="195" spans="1:12" ht="25.15" customHeight="1">
      <c r="A195" s="24" t="str">
        <f t="shared" si="2"/>
        <v>EUR_HE13.2.8</v>
      </c>
      <c r="B195" s="24" t="s">
        <v>1893</v>
      </c>
      <c r="C195" s="25" t="s">
        <v>1894</v>
      </c>
      <c r="D195" s="25" t="s">
        <v>1895</v>
      </c>
      <c r="E195" s="25" t="s">
        <v>942</v>
      </c>
      <c r="F195" s="25" t="s">
        <v>943</v>
      </c>
      <c r="G195" s="25" t="s">
        <v>944</v>
      </c>
      <c r="H195" s="25" t="s">
        <v>1896</v>
      </c>
      <c r="I195" s="25" t="s">
        <v>1897</v>
      </c>
      <c r="J195" s="25" t="s">
        <v>1898</v>
      </c>
      <c r="K195" s="25" t="s">
        <v>1899</v>
      </c>
      <c r="L195" s="24"/>
    </row>
    <row r="196" spans="1:12" ht="142.15" customHeight="1">
      <c r="A196" s="24" t="str">
        <f t="shared" si="2"/>
        <v>EUR_HE13.3</v>
      </c>
      <c r="B196" s="24" t="s">
        <v>1900</v>
      </c>
      <c r="C196" s="25" t="s">
        <v>1901</v>
      </c>
      <c r="D196" s="25" t="s">
        <v>1902</v>
      </c>
      <c r="E196" s="25" t="s">
        <v>934</v>
      </c>
      <c r="F196" s="25" t="s">
        <v>936</v>
      </c>
      <c r="G196" s="25" t="s">
        <v>937</v>
      </c>
      <c r="H196" s="25" t="s">
        <v>1487</v>
      </c>
      <c r="I196" s="25" t="s">
        <v>1488</v>
      </c>
      <c r="J196" s="25" t="s">
        <v>1903</v>
      </c>
      <c r="K196" s="25" t="s">
        <v>1904</v>
      </c>
      <c r="L196" s="24"/>
    </row>
    <row r="197" spans="1:12" ht="34.9" customHeight="1">
      <c r="A197" s="24" t="str">
        <f t="shared" si="2"/>
        <v>EUR_HE13.3.1</v>
      </c>
      <c r="B197" s="24" t="s">
        <v>1905</v>
      </c>
      <c r="C197" s="25" t="s">
        <v>1906</v>
      </c>
      <c r="D197" s="25" t="s">
        <v>1907</v>
      </c>
      <c r="E197" s="25" t="s">
        <v>942</v>
      </c>
      <c r="F197" s="25" t="s">
        <v>943</v>
      </c>
      <c r="G197" s="25" t="s">
        <v>944</v>
      </c>
      <c r="H197" s="25" t="s">
        <v>1571</v>
      </c>
      <c r="I197" s="25" t="s">
        <v>1572</v>
      </c>
      <c r="J197" s="25" t="s">
        <v>1908</v>
      </c>
      <c r="K197" s="25" t="s">
        <v>1909</v>
      </c>
      <c r="L197" s="24"/>
    </row>
    <row r="198" spans="1:12" ht="34.9" customHeight="1">
      <c r="A198" s="24" t="str">
        <f t="shared" si="2"/>
        <v>EUR_HE13.3.2</v>
      </c>
      <c r="B198" s="24" t="s">
        <v>1910</v>
      </c>
      <c r="C198" s="25" t="s">
        <v>1911</v>
      </c>
      <c r="D198" s="25" t="s">
        <v>1912</v>
      </c>
      <c r="E198" s="25" t="s">
        <v>942</v>
      </c>
      <c r="F198" s="25" t="s">
        <v>943</v>
      </c>
      <c r="G198" s="25" t="s">
        <v>944</v>
      </c>
      <c r="H198" s="25" t="s">
        <v>1576</v>
      </c>
      <c r="I198" s="25" t="s">
        <v>1577</v>
      </c>
      <c r="J198" s="25" t="s">
        <v>1913</v>
      </c>
      <c r="K198" s="25" t="s">
        <v>1914</v>
      </c>
      <c r="L198" s="24"/>
    </row>
    <row r="199" spans="1:12" ht="121.15" customHeight="1">
      <c r="A199" s="24" t="str">
        <f t="shared" si="2"/>
        <v>EUR_HE13.4</v>
      </c>
      <c r="B199" s="24" t="s">
        <v>1915</v>
      </c>
      <c r="C199" s="25" t="s">
        <v>1916</v>
      </c>
      <c r="D199" s="25" t="s">
        <v>1917</v>
      </c>
      <c r="E199" s="25" t="s">
        <v>934</v>
      </c>
      <c r="F199" s="25" t="s">
        <v>936</v>
      </c>
      <c r="G199" s="25" t="s">
        <v>937</v>
      </c>
      <c r="H199" s="25" t="s">
        <v>1622</v>
      </c>
      <c r="I199" s="25" t="s">
        <v>1623</v>
      </c>
      <c r="J199" s="25" t="s">
        <v>1918</v>
      </c>
      <c r="K199" s="25" t="s">
        <v>1919</v>
      </c>
      <c r="L199" s="24"/>
    </row>
    <row r="200" spans="1:12" ht="34.9" customHeight="1">
      <c r="A200" s="24" t="str">
        <f t="shared" si="2"/>
        <v>EUR_HE13.4.1</v>
      </c>
      <c r="B200" s="24" t="s">
        <v>1920</v>
      </c>
      <c r="C200" s="25" t="s">
        <v>1921</v>
      </c>
      <c r="D200" s="25" t="s">
        <v>1922</v>
      </c>
      <c r="E200" s="25" t="s">
        <v>942</v>
      </c>
      <c r="F200" s="25" t="s">
        <v>943</v>
      </c>
      <c r="G200" s="25" t="s">
        <v>944</v>
      </c>
      <c r="H200" s="25" t="s">
        <v>1633</v>
      </c>
      <c r="I200" s="25" t="s">
        <v>1634</v>
      </c>
      <c r="J200" s="25" t="s">
        <v>1923</v>
      </c>
      <c r="K200" s="25" t="s">
        <v>1924</v>
      </c>
      <c r="L200" s="24"/>
    </row>
    <row r="201" spans="1:12" ht="34.9" customHeight="1">
      <c r="A201" s="24" t="str">
        <f t="shared" ref="A201:A236" si="3">+"EUR_HE"&amp;D201</f>
        <v>EUR_HE13.4.2</v>
      </c>
      <c r="B201" s="24" t="s">
        <v>1925</v>
      </c>
      <c r="C201" s="25" t="s">
        <v>1926</v>
      </c>
      <c r="D201" s="25" t="s">
        <v>1927</v>
      </c>
      <c r="E201" s="25" t="s">
        <v>942</v>
      </c>
      <c r="F201" s="25" t="s">
        <v>943</v>
      </c>
      <c r="G201" s="25" t="s">
        <v>944</v>
      </c>
      <c r="H201" s="25" t="s">
        <v>1644</v>
      </c>
      <c r="I201" s="25" t="s">
        <v>1645</v>
      </c>
      <c r="J201" s="25" t="s">
        <v>1928</v>
      </c>
      <c r="K201" s="25" t="s">
        <v>1929</v>
      </c>
      <c r="L201" s="24"/>
    </row>
    <row r="202" spans="1:12" ht="34.9" customHeight="1">
      <c r="A202" s="24" t="str">
        <f t="shared" si="3"/>
        <v>EUR_HE13.4.3</v>
      </c>
      <c r="B202" s="24" t="s">
        <v>1930</v>
      </c>
      <c r="C202" s="25" t="s">
        <v>1931</v>
      </c>
      <c r="D202" s="25" t="s">
        <v>1932</v>
      </c>
      <c r="E202" s="25" t="s">
        <v>942</v>
      </c>
      <c r="F202" s="25" t="s">
        <v>943</v>
      </c>
      <c r="G202" s="25" t="s">
        <v>944</v>
      </c>
      <c r="H202" s="25" t="s">
        <v>1655</v>
      </c>
      <c r="I202" s="25" t="s">
        <v>1656</v>
      </c>
      <c r="J202" s="25" t="s">
        <v>1933</v>
      </c>
      <c r="K202" s="25" t="s">
        <v>1934</v>
      </c>
      <c r="L202" s="24"/>
    </row>
    <row r="203" spans="1:12" ht="34.9" customHeight="1">
      <c r="A203" s="24" t="str">
        <f t="shared" si="3"/>
        <v>EUR_HE13.4.4</v>
      </c>
      <c r="B203" s="24" t="s">
        <v>1935</v>
      </c>
      <c r="C203" s="25" t="s">
        <v>1936</v>
      </c>
      <c r="D203" s="25" t="s">
        <v>1937</v>
      </c>
      <c r="E203" s="25" t="s">
        <v>942</v>
      </c>
      <c r="F203" s="25" t="s">
        <v>943</v>
      </c>
      <c r="G203" s="25" t="s">
        <v>944</v>
      </c>
      <c r="H203" s="25" t="s">
        <v>1938</v>
      </c>
      <c r="I203" s="25" t="s">
        <v>1667</v>
      </c>
      <c r="J203" s="25" t="s">
        <v>1939</v>
      </c>
      <c r="K203" s="25" t="s">
        <v>1940</v>
      </c>
      <c r="L203" s="24"/>
    </row>
    <row r="204" spans="1:12" ht="34.9" customHeight="1">
      <c r="A204" s="24" t="str">
        <f t="shared" si="3"/>
        <v>EUR_HE13.4.5</v>
      </c>
      <c r="B204" s="24" t="s">
        <v>1941</v>
      </c>
      <c r="C204" s="25" t="s">
        <v>1942</v>
      </c>
      <c r="D204" s="25" t="s">
        <v>1943</v>
      </c>
      <c r="E204" s="25" t="s">
        <v>942</v>
      </c>
      <c r="F204" s="25" t="s">
        <v>943</v>
      </c>
      <c r="G204" s="25" t="s">
        <v>944</v>
      </c>
      <c r="H204" s="25" t="s">
        <v>1677</v>
      </c>
      <c r="I204" s="25" t="s">
        <v>1678</v>
      </c>
      <c r="J204" s="25" t="s">
        <v>1944</v>
      </c>
      <c r="K204" s="25" t="s">
        <v>1945</v>
      </c>
      <c r="L204" s="24"/>
    </row>
    <row r="205" spans="1:12" ht="25.15" customHeight="1">
      <c r="A205" s="24" t="str">
        <f t="shared" si="3"/>
        <v>EUR_HE13.4.6</v>
      </c>
      <c r="B205" s="24" t="s">
        <v>1946</v>
      </c>
      <c r="C205" s="25" t="s">
        <v>1947</v>
      </c>
      <c r="D205" s="25" t="s">
        <v>1948</v>
      </c>
      <c r="E205" s="25" t="s">
        <v>942</v>
      </c>
      <c r="F205" s="25" t="s">
        <v>943</v>
      </c>
      <c r="G205" s="25" t="s">
        <v>944</v>
      </c>
      <c r="H205" s="25" t="s">
        <v>1949</v>
      </c>
      <c r="I205" s="25" t="s">
        <v>1950</v>
      </c>
      <c r="J205" s="25" t="s">
        <v>1951</v>
      </c>
      <c r="K205" s="25" t="s">
        <v>1952</v>
      </c>
      <c r="L205" s="24"/>
    </row>
    <row r="206" spans="1:12" ht="130.9" customHeight="1">
      <c r="A206" s="24" t="str">
        <f t="shared" si="3"/>
        <v>EUR_HE13.5</v>
      </c>
      <c r="B206" s="24" t="s">
        <v>1953</v>
      </c>
      <c r="C206" s="25" t="s">
        <v>1954</v>
      </c>
      <c r="D206" s="25" t="s">
        <v>1955</v>
      </c>
      <c r="E206" s="25" t="s">
        <v>934</v>
      </c>
      <c r="F206" s="25" t="s">
        <v>936</v>
      </c>
      <c r="G206" s="25" t="s">
        <v>937</v>
      </c>
      <c r="H206" s="25" t="s">
        <v>1760</v>
      </c>
      <c r="I206" s="25" t="s">
        <v>1761</v>
      </c>
      <c r="J206" s="25" t="s">
        <v>1956</v>
      </c>
      <c r="K206" s="25" t="s">
        <v>1957</v>
      </c>
      <c r="L206" s="24"/>
    </row>
    <row r="207" spans="1:12" ht="46.15" customHeight="1">
      <c r="A207" s="24" t="str">
        <f t="shared" si="3"/>
        <v>EUR_HE13.5.0</v>
      </c>
      <c r="B207" s="24" t="s">
        <v>1958</v>
      </c>
      <c r="C207" s="25" t="s">
        <v>1959</v>
      </c>
      <c r="D207" s="25" t="s">
        <v>1960</v>
      </c>
      <c r="E207" s="25" t="s">
        <v>942</v>
      </c>
      <c r="F207" s="25" t="s">
        <v>943</v>
      </c>
      <c r="G207" s="25" t="s">
        <v>944</v>
      </c>
      <c r="H207" s="25" t="s">
        <v>1961</v>
      </c>
      <c r="I207" s="25" t="s">
        <v>1768</v>
      </c>
      <c r="J207" s="25" t="s">
        <v>1962</v>
      </c>
      <c r="K207" s="25" t="s">
        <v>1963</v>
      </c>
      <c r="L207" s="24"/>
    </row>
    <row r="208" spans="1:12" ht="130.9" customHeight="1">
      <c r="A208" s="24" t="str">
        <f t="shared" si="3"/>
        <v>EUR_HE13.6</v>
      </c>
      <c r="B208" s="24" t="s">
        <v>1964</v>
      </c>
      <c r="C208" s="25" t="s">
        <v>1965</v>
      </c>
      <c r="D208" s="25" t="s">
        <v>1966</v>
      </c>
      <c r="E208" s="25" t="s">
        <v>934</v>
      </c>
      <c r="F208" s="25" t="s">
        <v>936</v>
      </c>
      <c r="G208" s="25" t="s">
        <v>937</v>
      </c>
      <c r="H208" s="25" t="s">
        <v>1967</v>
      </c>
      <c r="I208" s="25" t="s">
        <v>1968</v>
      </c>
      <c r="J208" s="25" t="s">
        <v>1969</v>
      </c>
      <c r="K208" s="25" t="s">
        <v>1970</v>
      </c>
      <c r="L208" s="24"/>
    </row>
    <row r="209" spans="1:12" ht="25.15" customHeight="1">
      <c r="A209" s="24" t="str">
        <f t="shared" si="3"/>
        <v>EUR_HE13.6.1</v>
      </c>
      <c r="B209" s="24" t="s">
        <v>1971</v>
      </c>
      <c r="C209" s="25" t="s">
        <v>1972</v>
      </c>
      <c r="D209" s="25" t="s">
        <v>1973</v>
      </c>
      <c r="E209" s="25" t="s">
        <v>942</v>
      </c>
      <c r="F209" s="25" t="s">
        <v>943</v>
      </c>
      <c r="G209" s="25" t="s">
        <v>944</v>
      </c>
      <c r="H209" s="25" t="s">
        <v>1974</v>
      </c>
      <c r="I209" s="25" t="s">
        <v>1975</v>
      </c>
      <c r="J209" s="25" t="s">
        <v>1976</v>
      </c>
      <c r="K209" s="25" t="s">
        <v>1977</v>
      </c>
      <c r="L209" s="24"/>
    </row>
    <row r="210" spans="1:12" ht="25.15" customHeight="1">
      <c r="A210" s="24" t="str">
        <f t="shared" si="3"/>
        <v>EUR_HE13.6.2</v>
      </c>
      <c r="B210" s="24" t="s">
        <v>1978</v>
      </c>
      <c r="C210" s="25" t="s">
        <v>1979</v>
      </c>
      <c r="D210" s="25" t="s">
        <v>1980</v>
      </c>
      <c r="E210" s="25" t="s">
        <v>942</v>
      </c>
      <c r="F210" s="25" t="s">
        <v>943</v>
      </c>
      <c r="G210" s="25" t="s">
        <v>944</v>
      </c>
      <c r="H210" s="25" t="s">
        <v>1981</v>
      </c>
      <c r="I210" s="25" t="s">
        <v>1982</v>
      </c>
      <c r="J210" s="25" t="s">
        <v>1983</v>
      </c>
      <c r="K210" s="25" t="s">
        <v>1984</v>
      </c>
      <c r="L210" s="24"/>
    </row>
    <row r="211" spans="1:12" ht="25.15" customHeight="1">
      <c r="A211" s="24" t="str">
        <f t="shared" si="3"/>
        <v>EUR_HE13.6.3</v>
      </c>
      <c r="B211" s="24" t="s">
        <v>1985</v>
      </c>
      <c r="C211" s="25" t="s">
        <v>1986</v>
      </c>
      <c r="D211" s="25" t="s">
        <v>1987</v>
      </c>
      <c r="E211" s="25" t="s">
        <v>942</v>
      </c>
      <c r="F211" s="25" t="s">
        <v>943</v>
      </c>
      <c r="G211" s="25" t="s">
        <v>944</v>
      </c>
      <c r="H211" s="25" t="s">
        <v>1988</v>
      </c>
      <c r="I211" s="25" t="s">
        <v>1989</v>
      </c>
      <c r="J211" s="25" t="s">
        <v>1990</v>
      </c>
      <c r="K211" s="25" t="s">
        <v>1991</v>
      </c>
      <c r="L211" s="24"/>
    </row>
    <row r="212" spans="1:12" ht="25.15" customHeight="1">
      <c r="A212" s="24" t="str">
        <f t="shared" si="3"/>
        <v>EUR_HE13.6.4</v>
      </c>
      <c r="B212" s="24" t="s">
        <v>1992</v>
      </c>
      <c r="C212" s="25" t="s">
        <v>1993</v>
      </c>
      <c r="D212" s="25" t="s">
        <v>1994</v>
      </c>
      <c r="E212" s="25" t="s">
        <v>942</v>
      </c>
      <c r="F212" s="25" t="s">
        <v>943</v>
      </c>
      <c r="G212" s="25" t="s">
        <v>944</v>
      </c>
      <c r="H212" s="25" t="s">
        <v>1995</v>
      </c>
      <c r="I212" s="25" t="s">
        <v>1996</v>
      </c>
      <c r="J212" s="25" t="s">
        <v>1997</v>
      </c>
      <c r="K212" s="25" t="s">
        <v>1998</v>
      </c>
      <c r="L212" s="24"/>
    </row>
    <row r="213" spans="1:12" ht="25.15" customHeight="1">
      <c r="A213" s="24" t="str">
        <f t="shared" si="3"/>
        <v>EUR_HE14.</v>
      </c>
      <c r="B213" s="24" t="s">
        <v>1999</v>
      </c>
      <c r="C213" s="25" t="s">
        <v>2000</v>
      </c>
      <c r="D213" s="25" t="s">
        <v>2001</v>
      </c>
      <c r="E213" s="25" t="s">
        <v>927</v>
      </c>
      <c r="F213" s="25" t="s">
        <v>929</v>
      </c>
      <c r="G213" s="25" t="s">
        <v>930</v>
      </c>
      <c r="H213" s="25" t="s">
        <v>2002</v>
      </c>
      <c r="I213" s="25" t="s">
        <v>2003</v>
      </c>
      <c r="J213" s="25" t="s">
        <v>933</v>
      </c>
      <c r="K213" s="25" t="s">
        <v>933</v>
      </c>
      <c r="L213" s="24"/>
    </row>
    <row r="214" spans="1:12" ht="121.15" customHeight="1">
      <c r="A214" s="24" t="str">
        <f t="shared" si="3"/>
        <v>EUR_HE14.1</v>
      </c>
      <c r="B214" s="24" t="s">
        <v>2004</v>
      </c>
      <c r="C214" s="25" t="s">
        <v>2005</v>
      </c>
      <c r="D214" s="25" t="s">
        <v>2006</v>
      </c>
      <c r="E214" s="25" t="s">
        <v>934</v>
      </c>
      <c r="F214" s="25" t="s">
        <v>936</v>
      </c>
      <c r="G214" s="25" t="s">
        <v>937</v>
      </c>
      <c r="H214" s="25" t="s">
        <v>1835</v>
      </c>
      <c r="I214" s="25" t="s">
        <v>1836</v>
      </c>
      <c r="J214" s="25" t="s">
        <v>2007</v>
      </c>
      <c r="K214" s="25" t="s">
        <v>2008</v>
      </c>
      <c r="L214" s="24"/>
    </row>
    <row r="215" spans="1:12" ht="34.9" customHeight="1">
      <c r="A215" s="24" t="str">
        <f t="shared" si="3"/>
        <v>EUR_HE14.1.0</v>
      </c>
      <c r="B215" s="24" t="s">
        <v>2009</v>
      </c>
      <c r="C215" s="25" t="s">
        <v>2010</v>
      </c>
      <c r="D215" s="25" t="s">
        <v>2011</v>
      </c>
      <c r="E215" s="25" t="s">
        <v>942</v>
      </c>
      <c r="F215" s="25" t="s">
        <v>943</v>
      </c>
      <c r="G215" s="25" t="s">
        <v>944</v>
      </c>
      <c r="H215" s="25" t="s">
        <v>1842</v>
      </c>
      <c r="I215" s="25" t="s">
        <v>1843</v>
      </c>
      <c r="J215" s="25" t="s">
        <v>2012</v>
      </c>
      <c r="K215" s="25" t="s">
        <v>2013</v>
      </c>
      <c r="L215" s="24"/>
    </row>
    <row r="216" spans="1:12" ht="109.9" customHeight="1">
      <c r="A216" s="24" t="str">
        <f t="shared" si="3"/>
        <v>EUR_HE14.2</v>
      </c>
      <c r="B216" s="24" t="s">
        <v>2014</v>
      </c>
      <c r="C216" s="25" t="s">
        <v>2015</v>
      </c>
      <c r="D216" s="25" t="s">
        <v>2016</v>
      </c>
      <c r="E216" s="25" t="s">
        <v>934</v>
      </c>
      <c r="F216" s="25" t="s">
        <v>936</v>
      </c>
      <c r="G216" s="25" t="s">
        <v>937</v>
      </c>
      <c r="H216" s="25" t="s">
        <v>1295</v>
      </c>
      <c r="I216" s="25" t="s">
        <v>1296</v>
      </c>
      <c r="J216" s="25" t="s">
        <v>2017</v>
      </c>
      <c r="K216" s="25" t="s">
        <v>2018</v>
      </c>
      <c r="L216" s="24"/>
    </row>
    <row r="217" spans="1:12" ht="34.9" customHeight="1">
      <c r="A217" s="24" t="str">
        <f t="shared" si="3"/>
        <v>EUR_HE14.2.1</v>
      </c>
      <c r="B217" s="24" t="s">
        <v>2019</v>
      </c>
      <c r="C217" s="25" t="s">
        <v>2020</v>
      </c>
      <c r="D217" s="25" t="s">
        <v>2021</v>
      </c>
      <c r="E217" s="25" t="s">
        <v>942</v>
      </c>
      <c r="F217" s="25" t="s">
        <v>943</v>
      </c>
      <c r="G217" s="25" t="s">
        <v>944</v>
      </c>
      <c r="H217" s="25" t="s">
        <v>1306</v>
      </c>
      <c r="I217" s="25" t="s">
        <v>1307</v>
      </c>
      <c r="J217" s="25" t="s">
        <v>2022</v>
      </c>
      <c r="K217" s="25" t="s">
        <v>2023</v>
      </c>
      <c r="L217" s="24"/>
    </row>
    <row r="218" spans="1:12" ht="34.9" customHeight="1">
      <c r="A218" s="24" t="str">
        <f t="shared" si="3"/>
        <v>EUR_HE14.2.2</v>
      </c>
      <c r="B218" s="24" t="s">
        <v>2024</v>
      </c>
      <c r="C218" s="25" t="s">
        <v>2025</v>
      </c>
      <c r="D218" s="25" t="s">
        <v>2026</v>
      </c>
      <c r="E218" s="25" t="s">
        <v>942</v>
      </c>
      <c r="F218" s="25" t="s">
        <v>943</v>
      </c>
      <c r="G218" s="25" t="s">
        <v>944</v>
      </c>
      <c r="H218" s="25" t="s">
        <v>1311</v>
      </c>
      <c r="I218" s="25" t="s">
        <v>1312</v>
      </c>
      <c r="J218" s="25" t="s">
        <v>2027</v>
      </c>
      <c r="K218" s="25" t="s">
        <v>2028</v>
      </c>
      <c r="L218" s="24"/>
    </row>
    <row r="219" spans="1:12" ht="34.9" customHeight="1">
      <c r="A219" s="24" t="str">
        <f t="shared" si="3"/>
        <v>EUR_HE14.2.3</v>
      </c>
      <c r="B219" s="24" t="s">
        <v>2029</v>
      </c>
      <c r="C219" s="25" t="s">
        <v>2030</v>
      </c>
      <c r="D219" s="25" t="s">
        <v>2031</v>
      </c>
      <c r="E219" s="25" t="s">
        <v>942</v>
      </c>
      <c r="F219" s="25" t="s">
        <v>943</v>
      </c>
      <c r="G219" s="25" t="s">
        <v>944</v>
      </c>
      <c r="H219" s="25" t="s">
        <v>1316</v>
      </c>
      <c r="I219" s="25" t="s">
        <v>1317</v>
      </c>
      <c r="J219" s="25" t="s">
        <v>2032</v>
      </c>
      <c r="K219" s="25" t="s">
        <v>2033</v>
      </c>
      <c r="L219" s="24"/>
    </row>
    <row r="220" spans="1:12" ht="46.15" customHeight="1">
      <c r="A220" s="24" t="str">
        <f t="shared" si="3"/>
        <v>EUR_HE14.2.4</v>
      </c>
      <c r="B220" s="24" t="s">
        <v>2034</v>
      </c>
      <c r="C220" s="25" t="s">
        <v>2035</v>
      </c>
      <c r="D220" s="25" t="s">
        <v>2036</v>
      </c>
      <c r="E220" s="25" t="s">
        <v>942</v>
      </c>
      <c r="F220" s="25" t="s">
        <v>943</v>
      </c>
      <c r="G220" s="25" t="s">
        <v>944</v>
      </c>
      <c r="H220" s="25" t="s">
        <v>1870</v>
      </c>
      <c r="I220" s="25" t="s">
        <v>1871</v>
      </c>
      <c r="J220" s="25" t="s">
        <v>2037</v>
      </c>
      <c r="K220" s="25" t="s">
        <v>2038</v>
      </c>
      <c r="L220" s="24"/>
    </row>
    <row r="221" spans="1:12" ht="34.9" customHeight="1">
      <c r="A221" s="24" t="str">
        <f t="shared" si="3"/>
        <v>EUR_HE14.2.5</v>
      </c>
      <c r="B221" s="24" t="s">
        <v>2039</v>
      </c>
      <c r="C221" s="25" t="s">
        <v>2040</v>
      </c>
      <c r="D221" s="25" t="s">
        <v>2041</v>
      </c>
      <c r="E221" s="25" t="s">
        <v>942</v>
      </c>
      <c r="F221" s="25" t="s">
        <v>943</v>
      </c>
      <c r="G221" s="25" t="s">
        <v>944</v>
      </c>
      <c r="H221" s="25" t="s">
        <v>1877</v>
      </c>
      <c r="I221" s="25" t="s">
        <v>1878</v>
      </c>
      <c r="J221" s="25" t="s">
        <v>2042</v>
      </c>
      <c r="K221" s="25" t="s">
        <v>2043</v>
      </c>
      <c r="L221" s="24"/>
    </row>
    <row r="222" spans="1:12" ht="34.9" customHeight="1">
      <c r="A222" s="24" t="str">
        <f t="shared" si="3"/>
        <v>EUR_HE14.2.6</v>
      </c>
      <c r="B222" s="24" t="s">
        <v>2044</v>
      </c>
      <c r="C222" s="25" t="s">
        <v>2045</v>
      </c>
      <c r="D222" s="25" t="s">
        <v>2046</v>
      </c>
      <c r="E222" s="25" t="s">
        <v>942</v>
      </c>
      <c r="F222" s="25" t="s">
        <v>943</v>
      </c>
      <c r="G222" s="25" t="s">
        <v>944</v>
      </c>
      <c r="H222" s="25" t="s">
        <v>1884</v>
      </c>
      <c r="I222" s="25" t="s">
        <v>1885</v>
      </c>
      <c r="J222" s="25" t="s">
        <v>2047</v>
      </c>
      <c r="K222" s="25" t="s">
        <v>2048</v>
      </c>
      <c r="L222" s="24"/>
    </row>
    <row r="223" spans="1:12" ht="46.15" customHeight="1">
      <c r="A223" s="24" t="str">
        <f t="shared" si="3"/>
        <v>EUR_HE14.2.7</v>
      </c>
      <c r="B223" s="24" t="s">
        <v>2049</v>
      </c>
      <c r="C223" s="25" t="s">
        <v>2050</v>
      </c>
      <c r="D223" s="25" t="s">
        <v>2051</v>
      </c>
      <c r="E223" s="25" t="s">
        <v>942</v>
      </c>
      <c r="F223" s="25" t="s">
        <v>943</v>
      </c>
      <c r="G223" s="25" t="s">
        <v>944</v>
      </c>
      <c r="H223" s="25" t="s">
        <v>1350</v>
      </c>
      <c r="I223" s="25" t="s">
        <v>1351</v>
      </c>
      <c r="J223" s="25" t="s">
        <v>2052</v>
      </c>
      <c r="K223" s="25" t="s">
        <v>2053</v>
      </c>
      <c r="L223" s="24"/>
    </row>
    <row r="224" spans="1:12" ht="25.15" customHeight="1">
      <c r="A224" s="24" t="str">
        <f t="shared" si="3"/>
        <v>EUR_HE14.2.8</v>
      </c>
      <c r="B224" s="24" t="s">
        <v>2054</v>
      </c>
      <c r="C224" s="25" t="s">
        <v>2055</v>
      </c>
      <c r="D224" s="25" t="s">
        <v>2056</v>
      </c>
      <c r="E224" s="25" t="s">
        <v>942</v>
      </c>
      <c r="F224" s="25" t="s">
        <v>943</v>
      </c>
      <c r="G224" s="25" t="s">
        <v>944</v>
      </c>
      <c r="H224" s="25" t="s">
        <v>2057</v>
      </c>
      <c r="I224" s="25" t="s">
        <v>2058</v>
      </c>
      <c r="J224" s="25" t="s">
        <v>2059</v>
      </c>
      <c r="K224" s="25" t="s">
        <v>2060</v>
      </c>
      <c r="L224" s="24"/>
    </row>
    <row r="225" spans="1:12" ht="130.9" customHeight="1">
      <c r="A225" s="24" t="str">
        <f t="shared" si="3"/>
        <v>EUR_HE14.3</v>
      </c>
      <c r="B225" s="24" t="s">
        <v>2061</v>
      </c>
      <c r="C225" s="25" t="s">
        <v>2062</v>
      </c>
      <c r="D225" s="25" t="s">
        <v>2063</v>
      </c>
      <c r="E225" s="25" t="s">
        <v>934</v>
      </c>
      <c r="F225" s="25" t="s">
        <v>936</v>
      </c>
      <c r="G225" s="25" t="s">
        <v>937</v>
      </c>
      <c r="H225" s="25" t="s">
        <v>1487</v>
      </c>
      <c r="I225" s="25" t="s">
        <v>1488</v>
      </c>
      <c r="J225" s="25" t="s">
        <v>2064</v>
      </c>
      <c r="K225" s="25" t="s">
        <v>2065</v>
      </c>
      <c r="L225" s="24"/>
    </row>
    <row r="226" spans="1:12" ht="34.9" customHeight="1">
      <c r="A226" s="24" t="str">
        <f t="shared" si="3"/>
        <v>EUR_HE14.3.1</v>
      </c>
      <c r="B226" s="24" t="s">
        <v>2066</v>
      </c>
      <c r="C226" s="25" t="s">
        <v>2067</v>
      </c>
      <c r="D226" s="25" t="s">
        <v>2068</v>
      </c>
      <c r="E226" s="25" t="s">
        <v>942</v>
      </c>
      <c r="F226" s="25" t="s">
        <v>943</v>
      </c>
      <c r="G226" s="25" t="s">
        <v>944</v>
      </c>
      <c r="H226" s="25" t="s">
        <v>1571</v>
      </c>
      <c r="I226" s="25" t="s">
        <v>1572</v>
      </c>
      <c r="J226" s="25" t="s">
        <v>2069</v>
      </c>
      <c r="K226" s="25" t="s">
        <v>2070</v>
      </c>
      <c r="L226" s="24"/>
    </row>
    <row r="227" spans="1:12" ht="34.9" customHeight="1">
      <c r="A227" s="24" t="str">
        <f t="shared" si="3"/>
        <v>EUR_HE14.3.2</v>
      </c>
      <c r="B227" s="24" t="s">
        <v>2071</v>
      </c>
      <c r="C227" s="25" t="s">
        <v>2072</v>
      </c>
      <c r="D227" s="25" t="s">
        <v>2073</v>
      </c>
      <c r="E227" s="25" t="s">
        <v>942</v>
      </c>
      <c r="F227" s="25" t="s">
        <v>943</v>
      </c>
      <c r="G227" s="25" t="s">
        <v>944</v>
      </c>
      <c r="H227" s="25" t="s">
        <v>1576</v>
      </c>
      <c r="I227" s="25" t="s">
        <v>1577</v>
      </c>
      <c r="J227" s="25" t="s">
        <v>2074</v>
      </c>
      <c r="K227" s="25" t="s">
        <v>2075</v>
      </c>
      <c r="L227" s="24"/>
    </row>
    <row r="228" spans="1:12" ht="121.15" customHeight="1">
      <c r="A228" s="24" t="str">
        <f t="shared" si="3"/>
        <v>EUR_HE14.4</v>
      </c>
      <c r="B228" s="24" t="s">
        <v>2076</v>
      </c>
      <c r="C228" s="25" t="s">
        <v>2077</v>
      </c>
      <c r="D228" s="25" t="s">
        <v>2078</v>
      </c>
      <c r="E228" s="25" t="s">
        <v>934</v>
      </c>
      <c r="F228" s="25" t="s">
        <v>936</v>
      </c>
      <c r="G228" s="25" t="s">
        <v>937</v>
      </c>
      <c r="H228" s="25" t="s">
        <v>1622</v>
      </c>
      <c r="I228" s="25" t="s">
        <v>1623</v>
      </c>
      <c r="J228" s="25" t="s">
        <v>2079</v>
      </c>
      <c r="K228" s="25" t="s">
        <v>2080</v>
      </c>
      <c r="L228" s="24"/>
    </row>
    <row r="229" spans="1:12" ht="46.15" customHeight="1">
      <c r="A229" s="24" t="str">
        <f t="shared" si="3"/>
        <v>EUR_HE14.4.1</v>
      </c>
      <c r="B229" s="24" t="s">
        <v>2081</v>
      </c>
      <c r="C229" s="25" t="s">
        <v>2082</v>
      </c>
      <c r="D229" s="25" t="s">
        <v>2083</v>
      </c>
      <c r="E229" s="25" t="s">
        <v>942</v>
      </c>
      <c r="F229" s="25" t="s">
        <v>943</v>
      </c>
      <c r="G229" s="25" t="s">
        <v>944</v>
      </c>
      <c r="H229" s="25" t="s">
        <v>1628</v>
      </c>
      <c r="I229" s="25" t="s">
        <v>1634</v>
      </c>
      <c r="J229" s="25" t="s">
        <v>2084</v>
      </c>
      <c r="K229" s="25" t="s">
        <v>2085</v>
      </c>
      <c r="L229" s="24"/>
    </row>
    <row r="230" spans="1:12" ht="46.15" customHeight="1">
      <c r="A230" s="24" t="str">
        <f t="shared" si="3"/>
        <v>EUR_HE14.4.2</v>
      </c>
      <c r="B230" s="24" t="s">
        <v>2086</v>
      </c>
      <c r="C230" s="25" t="s">
        <v>2087</v>
      </c>
      <c r="D230" s="25" t="s">
        <v>2088</v>
      </c>
      <c r="E230" s="25" t="s">
        <v>942</v>
      </c>
      <c r="F230" s="25" t="s">
        <v>943</v>
      </c>
      <c r="G230" s="25" t="s">
        <v>944</v>
      </c>
      <c r="H230" s="25" t="s">
        <v>1644</v>
      </c>
      <c r="I230" s="25" t="s">
        <v>1645</v>
      </c>
      <c r="J230" s="25" t="s">
        <v>2089</v>
      </c>
      <c r="K230" s="25" t="s">
        <v>2090</v>
      </c>
      <c r="L230" s="24"/>
    </row>
    <row r="231" spans="1:12" ht="34.9" customHeight="1">
      <c r="A231" s="24" t="str">
        <f t="shared" si="3"/>
        <v>EUR_HE14.4.3</v>
      </c>
      <c r="B231" s="24" t="s">
        <v>2091</v>
      </c>
      <c r="C231" s="25" t="s">
        <v>2092</v>
      </c>
      <c r="D231" s="25" t="s">
        <v>2093</v>
      </c>
      <c r="E231" s="25" t="s">
        <v>942</v>
      </c>
      <c r="F231" s="25" t="s">
        <v>943</v>
      </c>
      <c r="G231" s="25" t="s">
        <v>944</v>
      </c>
      <c r="H231" s="25" t="s">
        <v>1655</v>
      </c>
      <c r="I231" s="25" t="s">
        <v>1656</v>
      </c>
      <c r="J231" s="25" t="s">
        <v>2094</v>
      </c>
      <c r="K231" s="25" t="s">
        <v>2095</v>
      </c>
      <c r="L231" s="24"/>
    </row>
    <row r="232" spans="1:12" ht="46.15" customHeight="1">
      <c r="A232" s="24" t="str">
        <f t="shared" si="3"/>
        <v>EUR_HE14.4.4</v>
      </c>
      <c r="B232" s="24" t="s">
        <v>2096</v>
      </c>
      <c r="C232" s="25" t="s">
        <v>2097</v>
      </c>
      <c r="D232" s="25" t="s">
        <v>2098</v>
      </c>
      <c r="E232" s="25" t="s">
        <v>942</v>
      </c>
      <c r="F232" s="25" t="s">
        <v>943</v>
      </c>
      <c r="G232" s="25" t="s">
        <v>944</v>
      </c>
      <c r="H232" s="25" t="s">
        <v>1938</v>
      </c>
      <c r="I232" s="25" t="s">
        <v>1667</v>
      </c>
      <c r="J232" s="25" t="s">
        <v>2099</v>
      </c>
      <c r="K232" s="25" t="s">
        <v>2100</v>
      </c>
      <c r="L232" s="24"/>
    </row>
    <row r="233" spans="1:12" ht="34.9" customHeight="1">
      <c r="A233" s="24" t="str">
        <f t="shared" si="3"/>
        <v>EUR_HE14.4.5</v>
      </c>
      <c r="B233" s="24" t="s">
        <v>2101</v>
      </c>
      <c r="C233" s="25" t="s">
        <v>2102</v>
      </c>
      <c r="D233" s="25" t="s">
        <v>2103</v>
      </c>
      <c r="E233" s="25" t="s">
        <v>942</v>
      </c>
      <c r="F233" s="25" t="s">
        <v>943</v>
      </c>
      <c r="G233" s="25" t="s">
        <v>944</v>
      </c>
      <c r="H233" s="25" t="s">
        <v>1677</v>
      </c>
      <c r="I233" s="25" t="s">
        <v>1678</v>
      </c>
      <c r="J233" s="25" t="s">
        <v>2104</v>
      </c>
      <c r="K233" s="25" t="s">
        <v>2105</v>
      </c>
      <c r="L233" s="24"/>
    </row>
    <row r="234" spans="1:12" ht="25.15" customHeight="1">
      <c r="A234" s="24" t="str">
        <f t="shared" si="3"/>
        <v>EUR_HE14.4.6</v>
      </c>
      <c r="B234" s="24" t="s">
        <v>2106</v>
      </c>
      <c r="C234" s="25" t="s">
        <v>2107</v>
      </c>
      <c r="D234" s="25" t="s">
        <v>2108</v>
      </c>
      <c r="E234" s="25" t="s">
        <v>942</v>
      </c>
      <c r="F234" s="25" t="s">
        <v>943</v>
      </c>
      <c r="G234" s="25" t="s">
        <v>944</v>
      </c>
      <c r="H234" s="25" t="s">
        <v>2109</v>
      </c>
      <c r="I234" s="25" t="s">
        <v>2110</v>
      </c>
      <c r="J234" s="25" t="s">
        <v>2111</v>
      </c>
      <c r="K234" s="25" t="s">
        <v>2112</v>
      </c>
      <c r="L234" s="24"/>
    </row>
    <row r="235" spans="1:12" ht="130.9" customHeight="1">
      <c r="A235" s="24" t="str">
        <f t="shared" si="3"/>
        <v>EUR_HE14.5</v>
      </c>
      <c r="B235" s="24" t="s">
        <v>2113</v>
      </c>
      <c r="C235" s="25" t="s">
        <v>2114</v>
      </c>
      <c r="D235" s="25" t="s">
        <v>2115</v>
      </c>
      <c r="E235" s="25" t="s">
        <v>934</v>
      </c>
      <c r="F235" s="25" t="s">
        <v>936</v>
      </c>
      <c r="G235" s="25" t="s">
        <v>937</v>
      </c>
      <c r="H235" s="25" t="s">
        <v>1760</v>
      </c>
      <c r="I235" s="25" t="s">
        <v>1761</v>
      </c>
      <c r="J235" s="25" t="s">
        <v>2116</v>
      </c>
      <c r="K235" s="25" t="s">
        <v>2117</v>
      </c>
      <c r="L235" s="24"/>
    </row>
    <row r="236" spans="1:12" ht="46.15" customHeight="1">
      <c r="A236" s="24" t="str">
        <f t="shared" si="3"/>
        <v>EUR_HE14.5.0</v>
      </c>
      <c r="B236" s="24" t="s">
        <v>2118</v>
      </c>
      <c r="C236" s="25" t="s">
        <v>2119</v>
      </c>
      <c r="D236" s="25" t="s">
        <v>2120</v>
      </c>
      <c r="E236" s="25" t="s">
        <v>942</v>
      </c>
      <c r="F236" s="25" t="s">
        <v>943</v>
      </c>
      <c r="G236" s="25" t="s">
        <v>944</v>
      </c>
      <c r="H236" s="25" t="s">
        <v>1961</v>
      </c>
      <c r="I236" s="25" t="s">
        <v>1768</v>
      </c>
      <c r="J236" s="25" t="s">
        <v>2121</v>
      </c>
      <c r="K236" s="25" t="s">
        <v>2122</v>
      </c>
      <c r="L236" s="24"/>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F58"/>
  <sheetViews>
    <sheetView workbookViewId="0">
      <selection activeCell="C31" sqref="C31"/>
    </sheetView>
  </sheetViews>
  <sheetFormatPr defaultColWidth="11.5703125" defaultRowHeight="14.45"/>
  <cols>
    <col min="1" max="1" width="11.5703125" style="33"/>
    <col min="2" max="2" width="46" style="33" bestFit="1" customWidth="1"/>
    <col min="3" max="16384" width="11.5703125" style="33"/>
  </cols>
  <sheetData>
    <row r="1" spans="2:4">
      <c r="B1" s="33" t="s">
        <v>2123</v>
      </c>
      <c r="C1" s="33" t="s">
        <v>2124</v>
      </c>
      <c r="D1" s="33" t="s">
        <v>2125</v>
      </c>
    </row>
    <row r="2" spans="2:4">
      <c r="B2" s="33" t="s">
        <v>2126</v>
      </c>
      <c r="C2" s="33" t="s">
        <v>2127</v>
      </c>
      <c r="D2" s="33" t="s">
        <v>429</v>
      </c>
    </row>
    <row r="3" spans="2:4">
      <c r="B3" s="33" t="s">
        <v>2128</v>
      </c>
      <c r="C3" s="33" t="s">
        <v>2129</v>
      </c>
      <c r="D3" s="33" t="s">
        <v>429</v>
      </c>
    </row>
    <row r="4" spans="2:4">
      <c r="B4" s="33" t="s">
        <v>2130</v>
      </c>
      <c r="C4" s="33" t="s">
        <v>2131</v>
      </c>
      <c r="D4" s="33" t="s">
        <v>429</v>
      </c>
    </row>
    <row r="5" spans="2:4">
      <c r="B5" s="33" t="s">
        <v>2132</v>
      </c>
      <c r="C5" s="33" t="s">
        <v>2133</v>
      </c>
      <c r="D5" s="33" t="s">
        <v>429</v>
      </c>
    </row>
    <row r="6" spans="2:4">
      <c r="B6" s="33" t="s">
        <v>2134</v>
      </c>
      <c r="C6" s="33" t="s">
        <v>2135</v>
      </c>
      <c r="D6" s="33" t="s">
        <v>429</v>
      </c>
    </row>
    <row r="7" spans="2:4">
      <c r="B7" s="33" t="s">
        <v>2136</v>
      </c>
      <c r="C7" s="33" t="s">
        <v>2137</v>
      </c>
      <c r="D7" s="33" t="s">
        <v>429</v>
      </c>
    </row>
    <row r="8" spans="2:4">
      <c r="B8" s="33" t="s">
        <v>2138</v>
      </c>
      <c r="C8" s="33" t="s">
        <v>2139</v>
      </c>
      <c r="D8" s="33" t="s">
        <v>429</v>
      </c>
    </row>
    <row r="9" spans="2:4">
      <c r="B9" s="33" t="s">
        <v>2140</v>
      </c>
      <c r="C9" s="33" t="s">
        <v>2141</v>
      </c>
      <c r="D9" s="33" t="s">
        <v>429</v>
      </c>
    </row>
    <row r="10" spans="2:4">
      <c r="B10" s="33" t="s">
        <v>2142</v>
      </c>
      <c r="C10" s="33" t="s">
        <v>2143</v>
      </c>
      <c r="D10" s="33" t="s">
        <v>429</v>
      </c>
    </row>
    <row r="11" spans="2:4">
      <c r="B11" s="33" t="s">
        <v>2144</v>
      </c>
      <c r="C11" s="33" t="s">
        <v>2145</v>
      </c>
      <c r="D11" s="33" t="s">
        <v>429</v>
      </c>
    </row>
    <row r="12" spans="2:4">
      <c r="B12" s="33" t="s">
        <v>2146</v>
      </c>
      <c r="C12" s="33" t="s">
        <v>2147</v>
      </c>
      <c r="D12" s="33" t="s">
        <v>429</v>
      </c>
    </row>
    <row r="13" spans="2:4">
      <c r="B13" s="33" t="s">
        <v>2148</v>
      </c>
      <c r="C13" s="33" t="s">
        <v>2149</v>
      </c>
      <c r="D13" s="33" t="s">
        <v>429</v>
      </c>
    </row>
    <row r="14" spans="2:4">
      <c r="B14" s="33" t="s">
        <v>2150</v>
      </c>
      <c r="C14" s="33" t="s">
        <v>2151</v>
      </c>
      <c r="D14" s="33" t="s">
        <v>429</v>
      </c>
    </row>
    <row r="15" spans="2:4">
      <c r="B15" s="33" t="s">
        <v>2152</v>
      </c>
      <c r="C15" s="33" t="s">
        <v>2153</v>
      </c>
      <c r="D15" s="33" t="s">
        <v>429</v>
      </c>
    </row>
    <row r="16" spans="2:4">
      <c r="B16" s="33" t="s">
        <v>424</v>
      </c>
      <c r="C16" s="33" t="s">
        <v>2154</v>
      </c>
      <c r="D16" s="33" t="s">
        <v>425</v>
      </c>
    </row>
    <row r="17" spans="2:6">
      <c r="B17" s="33" t="s">
        <v>415</v>
      </c>
      <c r="C17" s="33" t="s">
        <v>2155</v>
      </c>
      <c r="D17" s="33" t="s">
        <v>416</v>
      </c>
    </row>
    <row r="18" spans="2:6">
      <c r="B18" s="33" t="s">
        <v>412</v>
      </c>
      <c r="C18" s="33" t="s">
        <v>2156</v>
      </c>
      <c r="D18" s="33" t="s">
        <v>413</v>
      </c>
    </row>
    <row r="19" spans="2:6">
      <c r="B19" s="33" t="s">
        <v>2157</v>
      </c>
      <c r="C19" s="33" t="s">
        <v>2158</v>
      </c>
      <c r="D19" s="33" t="s">
        <v>414</v>
      </c>
    </row>
    <row r="20" spans="2:6">
      <c r="B20" s="33" t="s">
        <v>2159</v>
      </c>
      <c r="C20" s="33" t="s">
        <v>2160</v>
      </c>
      <c r="D20" s="33" t="s">
        <v>2161</v>
      </c>
    </row>
    <row r="21" spans="2:6">
      <c r="B21" s="33" t="s">
        <v>2162</v>
      </c>
      <c r="C21" s="33" t="s">
        <v>2163</v>
      </c>
      <c r="D21" s="33" t="s">
        <v>2164</v>
      </c>
    </row>
    <row r="22" spans="2:6">
      <c r="B22" s="33" t="s">
        <v>2165</v>
      </c>
      <c r="C22" s="33" t="s">
        <v>2166</v>
      </c>
      <c r="D22" s="33" t="s">
        <v>421</v>
      </c>
    </row>
    <row r="23" spans="2:6">
      <c r="B23" s="33" t="s">
        <v>2167</v>
      </c>
      <c r="C23" s="33" t="s">
        <v>2168</v>
      </c>
      <c r="D23" s="33" t="s">
        <v>421</v>
      </c>
    </row>
    <row r="24" spans="2:6">
      <c r="B24" s="33" t="s">
        <v>2169</v>
      </c>
      <c r="C24" s="33" t="s">
        <v>2170</v>
      </c>
      <c r="D24" s="33" t="s">
        <v>421</v>
      </c>
    </row>
    <row r="25" spans="2:6">
      <c r="B25" s="33" t="s">
        <v>2171</v>
      </c>
      <c r="C25" s="33" t="s">
        <v>2172</v>
      </c>
      <c r="D25" s="33" t="s">
        <v>421</v>
      </c>
    </row>
    <row r="26" spans="2:6">
      <c r="B26" s="33" t="s">
        <v>2173</v>
      </c>
      <c r="C26" s="33" t="s">
        <v>2174</v>
      </c>
      <c r="D26" s="33" t="s">
        <v>421</v>
      </c>
    </row>
    <row r="27" spans="2:6">
      <c r="B27" s="33" t="s">
        <v>2175</v>
      </c>
      <c r="C27" s="33" t="s">
        <v>2176</v>
      </c>
      <c r="D27" s="33" t="s">
        <v>421</v>
      </c>
    </row>
    <row r="28" spans="2:6">
      <c r="B28" s="33" t="s">
        <v>2177</v>
      </c>
      <c r="C28" s="33" t="s">
        <v>2178</v>
      </c>
      <c r="D28" s="33" t="s">
        <v>421</v>
      </c>
    </row>
    <row r="29" spans="2:6">
      <c r="B29" s="33" t="s">
        <v>2179</v>
      </c>
      <c r="C29" s="33" t="s">
        <v>2180</v>
      </c>
      <c r="D29" s="33" t="s">
        <v>2180</v>
      </c>
    </row>
    <row r="30" spans="2:6">
      <c r="B30" s="33" t="s">
        <v>2181</v>
      </c>
      <c r="C30" s="33" t="s">
        <v>2182</v>
      </c>
      <c r="D30" s="33" t="s">
        <v>2180</v>
      </c>
    </row>
    <row r="31" spans="2:6">
      <c r="B31" s="33" t="s">
        <v>417</v>
      </c>
      <c r="C31" s="33" t="s">
        <v>2183</v>
      </c>
      <c r="D31" s="33" t="s">
        <v>418</v>
      </c>
    </row>
    <row r="32" spans="2:6">
      <c r="B32" s="33" t="s">
        <v>2184</v>
      </c>
      <c r="C32" s="33" t="s">
        <v>2185</v>
      </c>
      <c r="D32" s="33" t="s">
        <v>420</v>
      </c>
      <c r="F32" s="33" t="s">
        <v>419</v>
      </c>
    </row>
    <row r="33" spans="2:4">
      <c r="B33" s="33" t="s">
        <v>2186</v>
      </c>
      <c r="C33" s="33" t="s">
        <v>2161</v>
      </c>
      <c r="D33" s="33" t="s">
        <v>420</v>
      </c>
    </row>
    <row r="34" spans="2:4">
      <c r="B34" s="33" t="s">
        <v>2187</v>
      </c>
      <c r="C34" s="33" t="s">
        <v>2188</v>
      </c>
      <c r="D34" s="33" t="s">
        <v>420</v>
      </c>
    </row>
    <row r="35" spans="2:4">
      <c r="B35" s="33" t="s">
        <v>409</v>
      </c>
      <c r="C35" s="33" t="s">
        <v>2189</v>
      </c>
      <c r="D35" s="33" t="s">
        <v>2189</v>
      </c>
    </row>
    <row r="36" spans="2:4">
      <c r="B36" s="33" t="s">
        <v>407</v>
      </c>
      <c r="C36" s="33" t="s">
        <v>2190</v>
      </c>
      <c r="D36" s="33" t="s">
        <v>2190</v>
      </c>
    </row>
    <row r="37" spans="2:4">
      <c r="B37" s="33" t="s">
        <v>405</v>
      </c>
      <c r="C37" s="33" t="s">
        <v>2191</v>
      </c>
      <c r="D37" s="33" t="s">
        <v>2191</v>
      </c>
    </row>
    <row r="38" spans="2:4">
      <c r="B38" s="33" t="s">
        <v>2192</v>
      </c>
      <c r="C38" s="33" t="s">
        <v>2193</v>
      </c>
      <c r="D38" s="33" t="s">
        <v>2158</v>
      </c>
    </row>
    <row r="39" spans="2:4">
      <c r="B39" s="33" t="s">
        <v>403</v>
      </c>
      <c r="C39" s="33" t="s">
        <v>2194</v>
      </c>
      <c r="D39" s="33" t="s">
        <v>2194</v>
      </c>
    </row>
    <row r="40" spans="2:4">
      <c r="B40" s="33" t="s">
        <v>2195</v>
      </c>
      <c r="C40" s="33" t="s">
        <v>2196</v>
      </c>
      <c r="D40" s="33" t="s">
        <v>423</v>
      </c>
    </row>
    <row r="41" spans="2:4">
      <c r="B41" s="33" t="s">
        <v>2197</v>
      </c>
      <c r="C41" s="33" t="s">
        <v>2198</v>
      </c>
      <c r="D41" s="33" t="s">
        <v>423</v>
      </c>
    </row>
    <row r="42" spans="2:4">
      <c r="B42" s="33" t="s">
        <v>2199</v>
      </c>
      <c r="C42" s="33" t="s">
        <v>2200</v>
      </c>
      <c r="D42" s="33" t="s">
        <v>423</v>
      </c>
    </row>
    <row r="43" spans="2:4">
      <c r="B43" s="33" t="s">
        <v>2201</v>
      </c>
      <c r="C43" s="33" t="s">
        <v>2202</v>
      </c>
      <c r="D43" s="33" t="s">
        <v>423</v>
      </c>
    </row>
    <row r="44" spans="2:4">
      <c r="B44" s="33" t="s">
        <v>2203</v>
      </c>
      <c r="C44" s="33" t="s">
        <v>2204</v>
      </c>
      <c r="D44" s="33" t="s">
        <v>423</v>
      </c>
    </row>
    <row r="45" spans="2:4">
      <c r="B45" s="33" t="s">
        <v>2205</v>
      </c>
      <c r="C45" s="33" t="s">
        <v>2206</v>
      </c>
      <c r="D45" s="33" t="s">
        <v>423</v>
      </c>
    </row>
    <row r="46" spans="2:4">
      <c r="B46" s="33" t="s">
        <v>2207</v>
      </c>
      <c r="C46" s="33" t="s">
        <v>2208</v>
      </c>
      <c r="D46" s="33" t="s">
        <v>423</v>
      </c>
    </row>
    <row r="47" spans="2:4">
      <c r="B47" s="33" t="s">
        <v>2209</v>
      </c>
      <c r="C47" s="33" t="s">
        <v>2210</v>
      </c>
      <c r="D47" s="33" t="s">
        <v>430</v>
      </c>
    </row>
    <row r="48" spans="2:4">
      <c r="B48" s="33" t="s">
        <v>2211</v>
      </c>
      <c r="C48" s="33" t="s">
        <v>2212</v>
      </c>
      <c r="D48" s="33" t="s">
        <v>430</v>
      </c>
    </row>
    <row r="49" spans="2:4">
      <c r="B49" s="33" t="s">
        <v>642</v>
      </c>
      <c r="C49" s="33" t="s">
        <v>2213</v>
      </c>
      <c r="D49" s="33" t="s">
        <v>430</v>
      </c>
    </row>
    <row r="50" spans="2:4">
      <c r="B50" s="33" t="s">
        <v>2214</v>
      </c>
      <c r="C50" s="33" t="s">
        <v>2215</v>
      </c>
      <c r="D50" s="33" t="s">
        <v>430</v>
      </c>
    </row>
    <row r="51" spans="2:4">
      <c r="B51" s="33" t="s">
        <v>762</v>
      </c>
      <c r="C51" s="33" t="s">
        <v>2216</v>
      </c>
      <c r="D51" s="33" t="s">
        <v>430</v>
      </c>
    </row>
    <row r="52" spans="2:4">
      <c r="B52" s="33" t="s">
        <v>2217</v>
      </c>
      <c r="C52" s="33" t="s">
        <v>2218</v>
      </c>
      <c r="D52" s="33" t="s">
        <v>430</v>
      </c>
    </row>
    <row r="53" spans="2:4">
      <c r="B53" s="33" t="s">
        <v>2219</v>
      </c>
      <c r="C53" s="33" t="s">
        <v>2220</v>
      </c>
      <c r="D53" s="33" t="s">
        <v>430</v>
      </c>
    </row>
    <row r="54" spans="2:4">
      <c r="B54" s="33" t="s">
        <v>2221</v>
      </c>
      <c r="C54" s="33" t="s">
        <v>2222</v>
      </c>
      <c r="D54" s="33" t="s">
        <v>430</v>
      </c>
    </row>
    <row r="55" spans="2:4">
      <c r="B55" s="33" t="s">
        <v>2223</v>
      </c>
      <c r="C55" s="33" t="s">
        <v>2224</v>
      </c>
      <c r="D55" s="33" t="s">
        <v>430</v>
      </c>
    </row>
    <row r="56" spans="2:4">
      <c r="B56" s="33" t="s">
        <v>2225</v>
      </c>
      <c r="C56" s="33" t="s">
        <v>2226</v>
      </c>
      <c r="D56" s="33" t="s">
        <v>427</v>
      </c>
    </row>
    <row r="57" spans="2:4">
      <c r="B57" s="33" t="s">
        <v>2227</v>
      </c>
      <c r="C57" s="33" t="s">
        <v>2228</v>
      </c>
      <c r="D57" s="33" t="s">
        <v>427</v>
      </c>
    </row>
    <row r="58" spans="2:4">
      <c r="B58" s="33" t="s">
        <v>2229</v>
      </c>
      <c r="C58" s="33" t="s">
        <v>2230</v>
      </c>
      <c r="D58" s="33" t="s">
        <v>427</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A3:L1115"/>
  <sheetViews>
    <sheetView tabSelected="1" workbookViewId="0">
      <selection activeCell="L4" sqref="L4:L21"/>
    </sheetView>
  </sheetViews>
  <sheetFormatPr defaultColWidth="11.5703125" defaultRowHeight="14.45"/>
  <cols>
    <col min="1" max="16384" width="11.5703125" style="33"/>
  </cols>
  <sheetData>
    <row r="3" spans="1:12">
      <c r="A3" s="33" t="s">
        <v>2231</v>
      </c>
      <c r="B3" s="33" t="s">
        <v>2232</v>
      </c>
      <c r="C3" s="33" t="s">
        <v>2233</v>
      </c>
      <c r="D3" s="33" t="s">
        <v>2123</v>
      </c>
      <c r="E3" s="33" t="s">
        <v>2234</v>
      </c>
      <c r="I3" s="33" t="s">
        <v>2234</v>
      </c>
    </row>
    <row r="4" spans="1:12">
      <c r="A4" s="33" t="e">
        <f>COUNTIF([1]Regions!$D$3:$D$30,BillionEURNEWAGE!$B4)&gt;0</f>
        <v>#VALUE!</v>
      </c>
      <c r="B4" s="33" t="s">
        <v>2235</v>
      </c>
      <c r="C4" s="33" t="s">
        <v>431</v>
      </c>
      <c r="D4" s="33" t="s">
        <v>401</v>
      </c>
      <c r="E4" s="33">
        <v>27.4464727214805</v>
      </c>
      <c r="L4" s="33" t="s">
        <v>2235</v>
      </c>
    </row>
    <row r="5" spans="1:12">
      <c r="A5" s="33" t="e">
        <f>COUNTIF([1]Regions!$D$3:$D$30,BillionEURNEWAGE!$B5)&gt;0</f>
        <v>#VALUE!</v>
      </c>
      <c r="B5" s="33" t="s">
        <v>2235</v>
      </c>
      <c r="C5" s="33" t="s">
        <v>431</v>
      </c>
      <c r="D5" s="33" t="s">
        <v>402</v>
      </c>
      <c r="E5" s="33">
        <v>0.51230195266028</v>
      </c>
      <c r="L5" s="33" t="s">
        <v>2236</v>
      </c>
    </row>
    <row r="6" spans="1:12">
      <c r="A6" s="33" t="e">
        <f>COUNTIF([1]Regions!$D$3:$D$30,BillionEURNEWAGE!$B6)&gt;0</f>
        <v>#VALUE!</v>
      </c>
      <c r="B6" s="33" t="s">
        <v>2235</v>
      </c>
      <c r="C6" s="33" t="s">
        <v>431</v>
      </c>
      <c r="D6" s="33" t="s">
        <v>404</v>
      </c>
      <c r="E6" s="33">
        <v>3.6407241571001898</v>
      </c>
      <c r="L6" s="33" t="s">
        <v>2237</v>
      </c>
    </row>
    <row r="7" spans="1:12">
      <c r="A7" s="33" t="e">
        <f>COUNTIF([1]Regions!$D$3:$D$30,BillionEURNEWAGE!$B7)&gt;0</f>
        <v>#VALUE!</v>
      </c>
      <c r="B7" s="33" t="s">
        <v>2235</v>
      </c>
      <c r="C7" s="33" t="s">
        <v>431</v>
      </c>
      <c r="D7" s="33" t="s">
        <v>406</v>
      </c>
      <c r="E7" s="33">
        <v>1.10873701826951</v>
      </c>
      <c r="L7" s="33" t="s">
        <v>2238</v>
      </c>
    </row>
    <row r="8" spans="1:12">
      <c r="A8" s="33" t="e">
        <f>COUNTIF([1]Regions!$D$3:$D$30,BillionEURNEWAGE!$B8)&gt;0</f>
        <v>#VALUE!</v>
      </c>
      <c r="B8" s="33" t="s">
        <v>2235</v>
      </c>
      <c r="C8" s="33" t="s">
        <v>431</v>
      </c>
      <c r="D8" s="33" t="s">
        <v>408</v>
      </c>
      <c r="E8" s="33">
        <v>2.7549399656398701E-4</v>
      </c>
      <c r="L8" s="33" t="s">
        <v>2239</v>
      </c>
    </row>
    <row r="9" spans="1:12">
      <c r="A9" s="33" t="e">
        <f>COUNTIF([1]Regions!$D$3:$D$30,BillionEURNEWAGE!$B9)&gt;0</f>
        <v>#VALUE!</v>
      </c>
      <c r="B9" s="33" t="s">
        <v>2235</v>
      </c>
      <c r="C9" s="33" t="s">
        <v>431</v>
      </c>
      <c r="D9" s="33" t="s">
        <v>410</v>
      </c>
      <c r="E9" s="33">
        <v>3.8863548349396799</v>
      </c>
      <c r="L9" s="33" t="s">
        <v>2240</v>
      </c>
    </row>
    <row r="10" spans="1:12">
      <c r="A10" s="33" t="e">
        <f>COUNTIF([1]Regions!$D$3:$D$30,BillionEURNEWAGE!$B10)&gt;0</f>
        <v>#VALUE!</v>
      </c>
      <c r="B10" s="33" t="s">
        <v>2235</v>
      </c>
      <c r="C10" s="33" t="s">
        <v>431</v>
      </c>
      <c r="D10" s="33" t="s">
        <v>411</v>
      </c>
      <c r="E10" s="33">
        <v>16.301388083875899</v>
      </c>
      <c r="L10" s="33" t="s">
        <v>2241</v>
      </c>
    </row>
    <row r="11" spans="1:12">
      <c r="A11" s="33" t="e">
        <f>COUNTIF([1]Regions!$D$3:$D$30,BillionEURNEWAGE!$B11)&gt;0</f>
        <v>#VALUE!</v>
      </c>
      <c r="B11" s="33" t="s">
        <v>2235</v>
      </c>
      <c r="C11" s="33" t="s">
        <v>431</v>
      </c>
      <c r="D11" s="33" t="s">
        <v>413</v>
      </c>
      <c r="E11" s="33">
        <v>7.3288164401830599E-2</v>
      </c>
      <c r="L11" s="33" t="s">
        <v>2242</v>
      </c>
    </row>
    <row r="12" spans="1:12">
      <c r="A12" s="33" t="e">
        <f>COUNTIF([1]Regions!$D$3:$D$30,BillionEURNEWAGE!$B12)&gt;0</f>
        <v>#VALUE!</v>
      </c>
      <c r="B12" s="33" t="s">
        <v>2235</v>
      </c>
      <c r="C12" s="33" t="s">
        <v>431</v>
      </c>
      <c r="D12" s="33" t="s">
        <v>416</v>
      </c>
      <c r="E12" s="33">
        <v>15.8787075145801</v>
      </c>
      <c r="L12" s="33" t="s">
        <v>2243</v>
      </c>
    </row>
    <row r="13" spans="1:12">
      <c r="A13" s="33" t="e">
        <f>COUNTIF([1]Regions!$D$3:$D$30,BillionEURNEWAGE!$B13)&gt;0</f>
        <v>#VALUE!</v>
      </c>
      <c r="B13" s="33" t="s">
        <v>2235</v>
      </c>
      <c r="C13" s="33" t="s">
        <v>431</v>
      </c>
      <c r="D13" s="33" t="s">
        <v>418</v>
      </c>
      <c r="E13" s="34">
        <v>7.8598998009743405E-5</v>
      </c>
      <c r="L13" s="33" t="s">
        <v>2244</v>
      </c>
    </row>
    <row r="14" spans="1:12">
      <c r="A14" s="33" t="e">
        <f>COUNTIF([1]Regions!$D$3:$D$30,BillionEURNEWAGE!$B14)&gt;0</f>
        <v>#VALUE!</v>
      </c>
      <c r="B14" s="33" t="s">
        <v>2235</v>
      </c>
      <c r="C14" s="33" t="s">
        <v>431</v>
      </c>
      <c r="D14" s="33" t="s">
        <v>420</v>
      </c>
      <c r="E14" s="33">
        <v>9.96418013571434</v>
      </c>
      <c r="L14" s="33" t="s">
        <v>2245</v>
      </c>
    </row>
    <row r="15" spans="1:12">
      <c r="A15" s="33" t="e">
        <f>COUNTIF([1]Regions!$D$3:$D$30,BillionEURNEWAGE!$B15)&gt;0</f>
        <v>#VALUE!</v>
      </c>
      <c r="B15" s="33" t="s">
        <v>2235</v>
      </c>
      <c r="C15" s="33" t="s">
        <v>431</v>
      </c>
      <c r="D15" s="33" t="s">
        <v>421</v>
      </c>
      <c r="E15" s="33">
        <v>132.17357760428499</v>
      </c>
      <c r="L15" s="33" t="s">
        <v>2246</v>
      </c>
    </row>
    <row r="16" spans="1:12">
      <c r="A16" s="33" t="e">
        <f>COUNTIF([1]Regions!$D$3:$D$30,BillionEURNEWAGE!$B16)&gt;0</f>
        <v>#VALUE!</v>
      </c>
      <c r="B16" s="33" t="s">
        <v>2235</v>
      </c>
      <c r="C16" s="33" t="s">
        <v>431</v>
      </c>
      <c r="D16" s="33" t="s">
        <v>423</v>
      </c>
      <c r="E16" s="33">
        <v>47.642586917574</v>
      </c>
      <c r="L16" s="33" t="s">
        <v>2247</v>
      </c>
    </row>
    <row r="17" spans="1:12">
      <c r="A17" s="33" t="e">
        <f>COUNTIF([1]Regions!$D$3:$D$30,BillionEURNEWAGE!$B17)&gt;0</f>
        <v>#VALUE!</v>
      </c>
      <c r="B17" s="33" t="s">
        <v>2235</v>
      </c>
      <c r="C17" s="33" t="s">
        <v>431</v>
      </c>
      <c r="D17" s="33" t="s">
        <v>425</v>
      </c>
      <c r="E17" s="33">
        <v>0.36664115364573102</v>
      </c>
      <c r="L17" s="33" t="s">
        <v>2248</v>
      </c>
    </row>
    <row r="18" spans="1:12">
      <c r="A18" s="33" t="e">
        <f>COUNTIF([1]Regions!$D$3:$D$30,BillionEURNEWAGE!$B18)&gt;0</f>
        <v>#VALUE!</v>
      </c>
      <c r="B18" s="33" t="s">
        <v>2235</v>
      </c>
      <c r="C18" s="33" t="s">
        <v>431</v>
      </c>
      <c r="D18" s="33" t="s">
        <v>427</v>
      </c>
      <c r="E18" s="33">
        <v>76.4523648726896</v>
      </c>
      <c r="L18" s="33" t="s">
        <v>2249</v>
      </c>
    </row>
    <row r="19" spans="1:12">
      <c r="A19" s="33" t="e">
        <f>COUNTIF([1]Regions!$D$3:$D$30,BillionEURNEWAGE!$B19)&gt;0</f>
        <v>#VALUE!</v>
      </c>
      <c r="B19" s="33" t="s">
        <v>2235</v>
      </c>
      <c r="C19" s="33" t="s">
        <v>431</v>
      </c>
      <c r="D19" s="33" t="s">
        <v>429</v>
      </c>
      <c r="E19" s="33">
        <v>162.524194084611</v>
      </c>
      <c r="L19" s="33" t="s">
        <v>2250</v>
      </c>
    </row>
    <row r="20" spans="1:12">
      <c r="A20" s="33" t="e">
        <f>COUNTIF([1]Regions!$D$3:$D$30,BillionEURNEWAGE!$B20)&gt;0</f>
        <v>#VALUE!</v>
      </c>
      <c r="B20" s="33" t="s">
        <v>2235</v>
      </c>
      <c r="C20" s="33" t="s">
        <v>431</v>
      </c>
      <c r="D20" s="33" t="s">
        <v>430</v>
      </c>
      <c r="E20" s="33">
        <v>281.440672912982</v>
      </c>
      <c r="L20" s="33" t="s">
        <v>2251</v>
      </c>
    </row>
    <row r="21" spans="1:12">
      <c r="A21" s="33" t="e">
        <f>COUNTIF([1]Regions!$D$3:$D$30,BillionEURNEWAGE!$B21)&gt;0</f>
        <v>#VALUE!</v>
      </c>
      <c r="B21" s="33" t="s">
        <v>2236</v>
      </c>
      <c r="C21" s="33" t="s">
        <v>431</v>
      </c>
      <c r="D21" s="33" t="s">
        <v>401</v>
      </c>
      <c r="E21" s="33">
        <v>126.694195080085</v>
      </c>
      <c r="L21" s="33" t="s">
        <v>2252</v>
      </c>
    </row>
    <row r="22" spans="1:12">
      <c r="A22" s="33" t="e">
        <f>COUNTIF([1]Regions!$D$3:$D$30,BillionEURNEWAGE!$B22)&gt;0</f>
        <v>#VALUE!</v>
      </c>
      <c r="B22" s="33" t="s">
        <v>2236</v>
      </c>
      <c r="C22" s="33" t="s">
        <v>431</v>
      </c>
      <c r="D22" s="33" t="s">
        <v>402</v>
      </c>
      <c r="E22" s="33">
        <v>13.4237037904423</v>
      </c>
    </row>
    <row r="23" spans="1:12">
      <c r="A23" s="33" t="e">
        <f>COUNTIF([1]Regions!$D$3:$D$30,BillionEURNEWAGE!$B23)&gt;0</f>
        <v>#VALUE!</v>
      </c>
      <c r="B23" s="33" t="s">
        <v>2236</v>
      </c>
      <c r="C23" s="33" t="s">
        <v>431</v>
      </c>
      <c r="D23" s="33" t="s">
        <v>404</v>
      </c>
      <c r="E23" s="33">
        <v>66.1966881412378</v>
      </c>
    </row>
    <row r="24" spans="1:12">
      <c r="A24" s="33" t="e">
        <f>COUNTIF([1]Regions!$D$3:$D$30,BillionEURNEWAGE!$B24)&gt;0</f>
        <v>#VALUE!</v>
      </c>
      <c r="B24" s="33" t="s">
        <v>2236</v>
      </c>
      <c r="C24" s="33" t="s">
        <v>431</v>
      </c>
      <c r="D24" s="33" t="s">
        <v>406</v>
      </c>
      <c r="E24" s="33">
        <v>3.65886751560517</v>
      </c>
    </row>
    <row r="25" spans="1:12">
      <c r="A25" s="33" t="e">
        <f>COUNTIF([1]Regions!$D$3:$D$30,BillionEURNEWAGE!$B25)&gt;0</f>
        <v>#VALUE!</v>
      </c>
      <c r="B25" s="33" t="s">
        <v>2236</v>
      </c>
      <c r="C25" s="33" t="s">
        <v>431</v>
      </c>
      <c r="D25" s="33" t="s">
        <v>408</v>
      </c>
      <c r="E25" s="33">
        <v>0.14306909815531199</v>
      </c>
    </row>
    <row r="26" spans="1:12">
      <c r="A26" s="33" t="e">
        <f>COUNTIF([1]Regions!$D$3:$D$30,BillionEURNEWAGE!$B26)&gt;0</f>
        <v>#VALUE!</v>
      </c>
      <c r="B26" s="33" t="s">
        <v>2236</v>
      </c>
      <c r="C26" s="33" t="s">
        <v>431</v>
      </c>
      <c r="D26" s="33" t="s">
        <v>410</v>
      </c>
      <c r="E26" s="33">
        <v>129.16531802572399</v>
      </c>
    </row>
    <row r="27" spans="1:12">
      <c r="A27" s="33" t="e">
        <f>COUNTIF([1]Regions!$D$3:$D$30,BillionEURNEWAGE!$B27)&gt;0</f>
        <v>#VALUE!</v>
      </c>
      <c r="B27" s="33" t="s">
        <v>2236</v>
      </c>
      <c r="C27" s="33" t="s">
        <v>431</v>
      </c>
      <c r="D27" s="33" t="s">
        <v>411</v>
      </c>
      <c r="E27" s="33">
        <v>101.504401638083</v>
      </c>
    </row>
    <row r="28" spans="1:12">
      <c r="A28" s="33" t="e">
        <f>COUNTIF([1]Regions!$D$3:$D$30,BillionEURNEWAGE!$B28)&gt;0</f>
        <v>#VALUE!</v>
      </c>
      <c r="B28" s="33" t="s">
        <v>2236</v>
      </c>
      <c r="C28" s="33" t="s">
        <v>431</v>
      </c>
      <c r="D28" s="33" t="s">
        <v>413</v>
      </c>
      <c r="E28" s="33">
        <v>6.4775487321983398E-3</v>
      </c>
    </row>
    <row r="29" spans="1:12">
      <c r="A29" s="33" t="e">
        <f>COUNTIF([1]Regions!$D$3:$D$30,BillionEURNEWAGE!$B29)&gt;0</f>
        <v>#VALUE!</v>
      </c>
      <c r="B29" s="33" t="s">
        <v>2236</v>
      </c>
      <c r="C29" s="33" t="s">
        <v>431</v>
      </c>
      <c r="D29" s="33" t="s">
        <v>414</v>
      </c>
      <c r="E29" s="34">
        <v>2.5544818894027601E-5</v>
      </c>
    </row>
    <row r="30" spans="1:12">
      <c r="A30" s="33" t="e">
        <f>COUNTIF([1]Regions!$D$3:$D$30,BillionEURNEWAGE!$B30)&gt;0</f>
        <v>#VALUE!</v>
      </c>
      <c r="B30" s="33" t="s">
        <v>2236</v>
      </c>
      <c r="C30" s="33" t="s">
        <v>431</v>
      </c>
      <c r="D30" s="33" t="s">
        <v>416</v>
      </c>
      <c r="E30" s="33">
        <v>119.58807225351001</v>
      </c>
    </row>
    <row r="31" spans="1:12">
      <c r="A31" s="33" t="e">
        <f>COUNTIF([1]Regions!$D$3:$D$30,BillionEURNEWAGE!$B31)&gt;0</f>
        <v>#VALUE!</v>
      </c>
      <c r="B31" s="33" t="s">
        <v>2236</v>
      </c>
      <c r="C31" s="33" t="s">
        <v>431</v>
      </c>
      <c r="D31" s="33" t="s">
        <v>418</v>
      </c>
      <c r="E31" s="33">
        <v>4.8325932741381999E-2</v>
      </c>
    </row>
    <row r="32" spans="1:12">
      <c r="A32" s="33" t="e">
        <f>COUNTIF([1]Regions!$D$3:$D$30,BillionEURNEWAGE!$B32)&gt;0</f>
        <v>#VALUE!</v>
      </c>
      <c r="B32" s="33" t="s">
        <v>2236</v>
      </c>
      <c r="C32" s="33" t="s">
        <v>431</v>
      </c>
      <c r="D32" s="33" t="s">
        <v>420</v>
      </c>
      <c r="E32" s="33">
        <v>122.455440605457</v>
      </c>
    </row>
    <row r="33" spans="1:5">
      <c r="A33" s="33" t="e">
        <f>COUNTIF([1]Regions!$D$3:$D$30,BillionEURNEWAGE!$B33)&gt;0</f>
        <v>#VALUE!</v>
      </c>
      <c r="B33" s="33" t="s">
        <v>2236</v>
      </c>
      <c r="C33" s="33" t="s">
        <v>431</v>
      </c>
      <c r="D33" s="33" t="s">
        <v>421</v>
      </c>
      <c r="E33" s="33">
        <v>358.04628628558697</v>
      </c>
    </row>
    <row r="34" spans="1:5">
      <c r="A34" s="33" t="e">
        <f>COUNTIF([1]Regions!$D$3:$D$30,BillionEURNEWAGE!$B34)&gt;0</f>
        <v>#VALUE!</v>
      </c>
      <c r="B34" s="33" t="s">
        <v>2236</v>
      </c>
      <c r="C34" s="33" t="s">
        <v>431</v>
      </c>
      <c r="D34" s="33" t="s">
        <v>423</v>
      </c>
      <c r="E34" s="33">
        <v>173.97501447293101</v>
      </c>
    </row>
    <row r="35" spans="1:5">
      <c r="A35" s="33" t="e">
        <f>COUNTIF([1]Regions!$D$3:$D$30,BillionEURNEWAGE!$B35)&gt;0</f>
        <v>#VALUE!</v>
      </c>
      <c r="B35" s="33" t="s">
        <v>2236</v>
      </c>
      <c r="C35" s="33" t="s">
        <v>431</v>
      </c>
      <c r="D35" s="33" t="s">
        <v>425</v>
      </c>
      <c r="E35" s="33">
        <v>0.14073739833533599</v>
      </c>
    </row>
    <row r="36" spans="1:5">
      <c r="A36" s="33" t="e">
        <f>COUNTIF([1]Regions!$D$3:$D$30,BillionEURNEWAGE!$B36)&gt;0</f>
        <v>#VALUE!</v>
      </c>
      <c r="B36" s="33" t="s">
        <v>2236</v>
      </c>
      <c r="C36" s="33" t="s">
        <v>431</v>
      </c>
      <c r="D36" s="33" t="s">
        <v>427</v>
      </c>
      <c r="E36" s="33">
        <v>115.16451152937699</v>
      </c>
    </row>
    <row r="37" spans="1:5">
      <c r="A37" s="33" t="e">
        <f>COUNTIF([1]Regions!$D$3:$D$30,BillionEURNEWAGE!$B37)&gt;0</f>
        <v>#VALUE!</v>
      </c>
      <c r="B37" s="33" t="s">
        <v>2236</v>
      </c>
      <c r="C37" s="33" t="s">
        <v>431</v>
      </c>
      <c r="D37" s="33" t="s">
        <v>429</v>
      </c>
      <c r="E37" s="33">
        <v>44.3941168429877</v>
      </c>
    </row>
    <row r="38" spans="1:5">
      <c r="A38" s="33" t="e">
        <f>COUNTIF([1]Regions!$D$3:$D$30,BillionEURNEWAGE!$B38)&gt;0</f>
        <v>#VALUE!</v>
      </c>
      <c r="B38" s="33" t="s">
        <v>2236</v>
      </c>
      <c r="C38" s="33" t="s">
        <v>431</v>
      </c>
      <c r="D38" s="33" t="s">
        <v>430</v>
      </c>
      <c r="E38" s="33">
        <v>5770.7842926747298</v>
      </c>
    </row>
    <row r="39" spans="1:5">
      <c r="A39" s="33" t="e">
        <f>COUNTIF([1]Regions!$D$3:$D$30,BillionEURNEWAGE!$B39)&gt;0</f>
        <v>#VALUE!</v>
      </c>
      <c r="B39" s="33" t="s">
        <v>2237</v>
      </c>
      <c r="C39" s="33" t="s">
        <v>431</v>
      </c>
      <c r="D39" s="33" t="s">
        <v>401</v>
      </c>
      <c r="E39" s="33">
        <v>12.420903455181399</v>
      </c>
    </row>
    <row r="40" spans="1:5">
      <c r="A40" s="33" t="e">
        <f>COUNTIF([1]Regions!$D$3:$D$30,BillionEURNEWAGE!$B40)&gt;0</f>
        <v>#VALUE!</v>
      </c>
      <c r="B40" s="33" t="s">
        <v>2237</v>
      </c>
      <c r="C40" s="33" t="s">
        <v>431</v>
      </c>
      <c r="D40" s="33" t="s">
        <v>404</v>
      </c>
      <c r="E40" s="33">
        <v>12.689863413189901</v>
      </c>
    </row>
    <row r="41" spans="1:5">
      <c r="A41" s="33" t="e">
        <f>COUNTIF([1]Regions!$D$3:$D$30,BillionEURNEWAGE!$B41)&gt;0</f>
        <v>#VALUE!</v>
      </c>
      <c r="B41" s="33" t="s">
        <v>2237</v>
      </c>
      <c r="C41" s="33" t="s">
        <v>431</v>
      </c>
      <c r="D41" s="33" t="s">
        <v>406</v>
      </c>
      <c r="E41" s="33">
        <v>2.6678374458382099</v>
      </c>
    </row>
    <row r="42" spans="1:5">
      <c r="A42" s="33" t="e">
        <f>COUNTIF([1]Regions!$D$3:$D$30,BillionEURNEWAGE!$B42)&gt;0</f>
        <v>#VALUE!</v>
      </c>
      <c r="B42" s="33" t="s">
        <v>2237</v>
      </c>
      <c r="C42" s="33" t="s">
        <v>431</v>
      </c>
      <c r="D42" s="33" t="s">
        <v>408</v>
      </c>
      <c r="E42" s="33">
        <v>7.0374823601222103E-2</v>
      </c>
    </row>
    <row r="43" spans="1:5">
      <c r="A43" s="33" t="e">
        <f>COUNTIF([1]Regions!$D$3:$D$30,BillionEURNEWAGE!$B43)&gt;0</f>
        <v>#VALUE!</v>
      </c>
      <c r="B43" s="33" t="s">
        <v>2237</v>
      </c>
      <c r="C43" s="33" t="s">
        <v>431</v>
      </c>
      <c r="D43" s="33" t="s">
        <v>410</v>
      </c>
      <c r="E43" s="33">
        <v>34.154473226531998</v>
      </c>
    </row>
    <row r="44" spans="1:5">
      <c r="A44" s="33" t="e">
        <f>COUNTIF([1]Regions!$D$3:$D$30,BillionEURNEWAGE!$B44)&gt;0</f>
        <v>#VALUE!</v>
      </c>
      <c r="B44" s="33" t="s">
        <v>2237</v>
      </c>
      <c r="C44" s="33" t="s">
        <v>431</v>
      </c>
      <c r="D44" s="33" t="s">
        <v>411</v>
      </c>
      <c r="E44" s="33">
        <v>14.7959158402578</v>
      </c>
    </row>
    <row r="45" spans="1:5">
      <c r="A45" s="33" t="e">
        <f>COUNTIF([1]Regions!$D$3:$D$30,BillionEURNEWAGE!$B45)&gt;0</f>
        <v>#VALUE!</v>
      </c>
      <c r="B45" s="33" t="s">
        <v>2237</v>
      </c>
      <c r="C45" s="33" t="s">
        <v>431</v>
      </c>
      <c r="D45" s="33" t="s">
        <v>416</v>
      </c>
      <c r="E45" s="33">
        <v>18.868349978906199</v>
      </c>
    </row>
    <row r="46" spans="1:5">
      <c r="A46" s="33" t="e">
        <f>COUNTIF([1]Regions!$D$3:$D$30,BillionEURNEWAGE!$B46)&gt;0</f>
        <v>#VALUE!</v>
      </c>
      <c r="B46" s="33" t="s">
        <v>2237</v>
      </c>
      <c r="C46" s="33" t="s">
        <v>431</v>
      </c>
      <c r="D46" s="33" t="s">
        <v>418</v>
      </c>
      <c r="E46" s="33">
        <v>2.10563513059575E-2</v>
      </c>
    </row>
    <row r="47" spans="1:5">
      <c r="A47" s="33" t="e">
        <f>COUNTIF([1]Regions!$D$3:$D$30,BillionEURNEWAGE!$B47)&gt;0</f>
        <v>#VALUE!</v>
      </c>
      <c r="B47" s="33" t="s">
        <v>2237</v>
      </c>
      <c r="C47" s="33" t="s">
        <v>431</v>
      </c>
      <c r="D47" s="33" t="s">
        <v>420</v>
      </c>
      <c r="E47" s="33">
        <v>23.8546075698275</v>
      </c>
    </row>
    <row r="48" spans="1:5">
      <c r="A48" s="33" t="e">
        <f>COUNTIF([1]Regions!$D$3:$D$30,BillionEURNEWAGE!$B48)&gt;0</f>
        <v>#VALUE!</v>
      </c>
      <c r="B48" s="33" t="s">
        <v>2237</v>
      </c>
      <c r="C48" s="33" t="s">
        <v>431</v>
      </c>
      <c r="D48" s="33" t="s">
        <v>421</v>
      </c>
      <c r="E48" s="33">
        <v>82.416572161042197</v>
      </c>
    </row>
    <row r="49" spans="1:10">
      <c r="A49" s="33" t="e">
        <f>COUNTIF([1]Regions!$D$3:$D$30,BillionEURNEWAGE!$B49)&gt;0</f>
        <v>#VALUE!</v>
      </c>
      <c r="B49" s="33" t="s">
        <v>2237</v>
      </c>
      <c r="C49" s="33" t="s">
        <v>431</v>
      </c>
      <c r="D49" s="33" t="s">
        <v>423</v>
      </c>
      <c r="E49" s="33">
        <v>36.466586510649996</v>
      </c>
    </row>
    <row r="50" spans="1:10">
      <c r="A50" s="33" t="e">
        <f>COUNTIF([1]Regions!$D$3:$D$30,BillionEURNEWAGE!$B50)&gt;0</f>
        <v>#VALUE!</v>
      </c>
      <c r="B50" s="33" t="s">
        <v>2237</v>
      </c>
      <c r="C50" s="33" t="s">
        <v>431</v>
      </c>
      <c r="D50" s="33" t="s">
        <v>425</v>
      </c>
      <c r="E50" s="33">
        <v>8.7617020842587792</v>
      </c>
    </row>
    <row r="51" spans="1:10">
      <c r="A51" s="33" t="e">
        <f>COUNTIF([1]Regions!$D$3:$D$30,BillionEURNEWAGE!$B51)&gt;0</f>
        <v>#VALUE!</v>
      </c>
      <c r="B51" s="33" t="s">
        <v>2237</v>
      </c>
      <c r="C51" s="33" t="s">
        <v>431</v>
      </c>
      <c r="D51" s="33" t="s">
        <v>427</v>
      </c>
      <c r="E51" s="33">
        <v>41.338115339914602</v>
      </c>
    </row>
    <row r="52" spans="1:10">
      <c r="A52" s="33" t="e">
        <f>COUNTIF([1]Regions!$D$3:$D$30,BillionEURNEWAGE!$B52)&gt;0</f>
        <v>#VALUE!</v>
      </c>
      <c r="B52" s="33" t="s">
        <v>2237</v>
      </c>
      <c r="C52" s="33" t="s">
        <v>431</v>
      </c>
      <c r="D52" s="33" t="s">
        <v>429</v>
      </c>
      <c r="E52" s="33">
        <v>8.2494125018330706</v>
      </c>
    </row>
    <row r="53" spans="1:10">
      <c r="A53" s="33" t="e">
        <f>COUNTIF([1]Regions!$D$3:$D$30,BillionEURNEWAGE!$B53)&gt;0</f>
        <v>#VALUE!</v>
      </c>
      <c r="B53" s="33" t="s">
        <v>2237</v>
      </c>
      <c r="C53" s="33" t="s">
        <v>431</v>
      </c>
      <c r="D53" s="33" t="s">
        <v>430</v>
      </c>
      <c r="E53" s="33">
        <v>555.07284834036898</v>
      </c>
    </row>
    <row r="54" spans="1:10">
      <c r="A54" s="33" t="e">
        <f>COUNTIF([1]Regions!$D$3:$D$30,BillionEURNEWAGE!$B54)&gt;0</f>
        <v>#VALUE!</v>
      </c>
      <c r="B54" s="33" t="s">
        <v>2238</v>
      </c>
      <c r="C54" s="33" t="s">
        <v>431</v>
      </c>
      <c r="D54" s="33" t="s">
        <v>401</v>
      </c>
      <c r="E54" s="33">
        <v>27.905127903040398</v>
      </c>
      <c r="G54" s="33">
        <f>+E54+E55+E56+E57+E58+E59+E60+E61+E62+E63+E64+E65+E66+E67+E68+E69+E70</f>
        <v>1079.8710423211573</v>
      </c>
      <c r="H54" s="33" t="str">
        <f>UPPER(D54)</f>
        <v>OIL</v>
      </c>
      <c r="I54" s="33">
        <f>+[1]BillionEUR!E3631</f>
        <v>28.4426746587644</v>
      </c>
      <c r="J54" s="33">
        <f>+I54-E54</f>
        <v>0.53754675572400146</v>
      </c>
    </row>
    <row r="55" spans="1:10">
      <c r="A55" s="33" t="e">
        <f>COUNTIF([1]Regions!$D$3:$D$30,BillionEURNEWAGE!$B55)&gt;0</f>
        <v>#VALUE!</v>
      </c>
      <c r="B55" s="33" t="s">
        <v>2238</v>
      </c>
      <c r="C55" s="33" t="s">
        <v>431</v>
      </c>
      <c r="D55" s="33" t="s">
        <v>402</v>
      </c>
      <c r="E55" s="33">
        <v>1.7392189997007099</v>
      </c>
      <c r="H55" s="33" t="str">
        <f t="shared" ref="H55:H70" si="0">UPPER(D55)</f>
        <v>GAS</v>
      </c>
      <c r="I55" s="33">
        <f>+[1]BillionEUR!E3616+[1]BillionEUR!E3643</f>
        <v>1.8302513648723771</v>
      </c>
      <c r="J55" s="33">
        <f t="shared" ref="J55:J70" si="1">+I55-E55</f>
        <v>9.1032365171667129E-2</v>
      </c>
    </row>
    <row r="56" spans="1:10">
      <c r="A56" s="33" t="e">
        <f>COUNTIF([1]Regions!$D$3:$D$30,BillionEURNEWAGE!$B56)&gt;0</f>
        <v>#VALUE!</v>
      </c>
      <c r="B56" s="33" t="s">
        <v>2238</v>
      </c>
      <c r="C56" s="33" t="s">
        <v>431</v>
      </c>
      <c r="D56" s="33" t="s">
        <v>404</v>
      </c>
      <c r="E56" s="33">
        <v>23.879006137205799</v>
      </c>
      <c r="H56" s="33" t="str">
        <f t="shared" si="0"/>
        <v>PPP</v>
      </c>
      <c r="I56" s="33">
        <f>+[1]BillionEUR!E3630</f>
        <v>23.8786424658764</v>
      </c>
      <c r="J56" s="33">
        <f t="shared" si="1"/>
        <v>-3.6367132939929547E-4</v>
      </c>
    </row>
    <row r="57" spans="1:10">
      <c r="A57" s="33" t="e">
        <f>COUNTIF([1]Regions!$D$3:$D$30,BillionEURNEWAGE!$B57)&gt;0</f>
        <v>#VALUE!</v>
      </c>
      <c r="B57" s="33" t="s">
        <v>2238</v>
      </c>
      <c r="C57" s="33" t="s">
        <v>431</v>
      </c>
      <c r="D57" s="33" t="s">
        <v>406</v>
      </c>
      <c r="E57" s="33">
        <v>4.3651453395935098</v>
      </c>
      <c r="H57" s="33" t="str">
        <f t="shared" si="0"/>
        <v>NMM</v>
      </c>
      <c r="I57" s="33">
        <f>+[1]BillionEUR!E3633</f>
        <v>4.36015723217493</v>
      </c>
      <c r="J57" s="33">
        <f t="shared" si="1"/>
        <v>-4.9881074185798013E-3</v>
      </c>
    </row>
    <row r="58" spans="1:10">
      <c r="A58" s="33" t="e">
        <f>COUNTIF([1]Regions!$D$3:$D$30,BillionEURNEWAGE!$B58)&gt;0</f>
        <v>#VALUE!</v>
      </c>
      <c r="B58" s="33" t="s">
        <v>2238</v>
      </c>
      <c r="C58" s="33" t="s">
        <v>431</v>
      </c>
      <c r="D58" s="33" t="s">
        <v>408</v>
      </c>
      <c r="E58" s="33">
        <v>4.26327913018617E-3</v>
      </c>
      <c r="H58" s="33" t="str">
        <f t="shared" si="0"/>
        <v>NFM</v>
      </c>
      <c r="I58" s="33">
        <f>+[1]BillionEUR!E3635</f>
        <v>4.26108021845763E-3</v>
      </c>
      <c r="J58" s="33">
        <f t="shared" si="1"/>
        <v>-2.1989117285400178E-6</v>
      </c>
    </row>
    <row r="59" spans="1:10">
      <c r="A59" s="33" t="e">
        <f>COUNTIF([1]Regions!$D$3:$D$30,BillionEURNEWAGE!$B59)&gt;0</f>
        <v>#VALUE!</v>
      </c>
      <c r="B59" s="33" t="s">
        <v>2238</v>
      </c>
      <c r="C59" s="33" t="s">
        <v>431</v>
      </c>
      <c r="D59" s="33" t="s">
        <v>410</v>
      </c>
      <c r="E59" s="33">
        <v>44.645982379951803</v>
      </c>
      <c r="H59" s="33" t="str">
        <f t="shared" si="0"/>
        <v>MVH</v>
      </c>
      <c r="I59" s="33">
        <f>+[1]BillionEUR!E3637</f>
        <v>44.671204314834803</v>
      </c>
      <c r="J59" s="33">
        <f t="shared" si="1"/>
        <v>2.5221934882999619E-2</v>
      </c>
    </row>
    <row r="60" spans="1:10">
      <c r="A60" s="33" t="e">
        <f>COUNTIF([1]Regions!$D$3:$D$30,BillionEURNEWAGE!$B60)&gt;0</f>
        <v>#VALUE!</v>
      </c>
      <c r="B60" s="33" t="s">
        <v>2238</v>
      </c>
      <c r="C60" s="33" t="s">
        <v>431</v>
      </c>
      <c r="D60" s="33" t="s">
        <v>411</v>
      </c>
      <c r="E60" s="33">
        <v>18.504323642663898</v>
      </c>
      <c r="H60" s="33" t="str">
        <f t="shared" si="0"/>
        <v>ELE</v>
      </c>
      <c r="I60" s="33">
        <f>+[1]BillionEUR!E3642</f>
        <v>18.516219917385101</v>
      </c>
      <c r="J60" s="33">
        <f t="shared" si="1"/>
        <v>1.189627472120236E-2</v>
      </c>
    </row>
    <row r="61" spans="1:10">
      <c r="A61" s="33" t="e">
        <f>COUNTIF([1]Regions!$D$3:$D$30,BillionEURNEWAGE!$B61)&gt;0</f>
        <v>#VALUE!</v>
      </c>
      <c r="B61" s="33" t="s">
        <v>2238</v>
      </c>
      <c r="C61" s="33" t="s">
        <v>431</v>
      </c>
      <c r="D61" s="33" t="s">
        <v>413</v>
      </c>
      <c r="E61" s="33">
        <v>0.100745299385174</v>
      </c>
      <c r="H61" s="33" t="str">
        <f t="shared" si="0"/>
        <v>COL</v>
      </c>
      <c r="I61" s="33">
        <f>+[1]BillionEUR!E3614</f>
        <v>0.10035150900654401</v>
      </c>
      <c r="J61" s="33">
        <f t="shared" si="1"/>
        <v>-3.9379037862999344E-4</v>
      </c>
    </row>
    <row r="62" spans="1:10">
      <c r="A62" s="33" t="e">
        <f>COUNTIF([1]Regions!$D$3:$D$30,BillionEURNEWAGE!$B62)&gt;0</f>
        <v>#VALUE!</v>
      </c>
      <c r="B62" s="33" t="s">
        <v>2238</v>
      </c>
      <c r="C62" s="33" t="s">
        <v>431</v>
      </c>
      <c r="D62" s="33" t="s">
        <v>416</v>
      </c>
      <c r="E62" s="33">
        <v>16.4847966292919</v>
      </c>
      <c r="H62" s="33" t="str">
        <f t="shared" si="0"/>
        <v>CHM</v>
      </c>
      <c r="I62" s="33">
        <f>+[1]BillionEUR!E3632</f>
        <v>16.5006777007004</v>
      </c>
      <c r="J62" s="33">
        <f t="shared" si="1"/>
        <v>1.5881071408500702E-2</v>
      </c>
    </row>
    <row r="63" spans="1:10">
      <c r="A63" s="33" t="e">
        <f>COUNTIF([1]Regions!$D$3:$D$30,BillionEURNEWAGE!$B63)&gt;0</f>
        <v>#VALUE!</v>
      </c>
      <c r="B63" s="33" t="s">
        <v>2238</v>
      </c>
      <c r="C63" s="33" t="s">
        <v>431</v>
      </c>
      <c r="D63" s="33" t="s">
        <v>418</v>
      </c>
      <c r="E63" s="33">
        <v>3.1688808329681599E-3</v>
      </c>
      <c r="H63" s="33" t="str">
        <f t="shared" si="0"/>
        <v>IRS</v>
      </c>
      <c r="I63" s="33">
        <f>+[1]BillionEUR!E3634</f>
        <v>3.1693228359880102E-3</v>
      </c>
      <c r="J63" s="33">
        <f t="shared" si="1"/>
        <v>4.4200301985023241E-7</v>
      </c>
    </row>
    <row r="64" spans="1:10">
      <c r="A64" s="33" t="e">
        <f>COUNTIF([1]Regions!$D$3:$D$30,BillionEURNEWAGE!$B64)&gt;0</f>
        <v>#VALUE!</v>
      </c>
      <c r="B64" s="33" t="s">
        <v>2238</v>
      </c>
      <c r="C64" s="33" t="s">
        <v>431</v>
      </c>
      <c r="D64" s="33" t="s">
        <v>420</v>
      </c>
      <c r="E64" s="33">
        <v>24.253905494425499</v>
      </c>
      <c r="H64" s="33" t="str">
        <f t="shared" si="0"/>
        <v>MAC</v>
      </c>
      <c r="I64" s="33">
        <f>+[1]BillionEUR!E3638+[1]BillionEUR!E3639+[1]BillionEUR!E3640</f>
        <v>24.256154202866799</v>
      </c>
      <c r="J64" s="33">
        <f t="shared" si="1"/>
        <v>2.2487084413000957E-3</v>
      </c>
    </row>
    <row r="65" spans="1:10">
      <c r="A65" s="33" t="e">
        <f>COUNTIF([1]Regions!$D$3:$D$30,BillionEURNEWAGE!$B65)&gt;0</f>
        <v>#VALUE!</v>
      </c>
      <c r="B65" s="33" t="s">
        <v>2238</v>
      </c>
      <c r="C65" s="33" t="s">
        <v>431</v>
      </c>
      <c r="D65" s="33" t="s">
        <v>421</v>
      </c>
      <c r="E65" s="33">
        <v>117.55375923444799</v>
      </c>
      <c r="H65" s="33" t="str">
        <f t="shared" si="0"/>
        <v>FOT</v>
      </c>
      <c r="I65" s="33">
        <f>+[1]BillionEUR!E3618+[1]BillionEUR!E3619+[1]BillionEUR!E3620+[1]BillionEUR!E3621+[1]BillionEUR!E3623+[1]BillionEUR!E3624+[1]BillionEUR!E3625</f>
        <v>117.79563072906136</v>
      </c>
      <c r="J65" s="33">
        <f t="shared" si="1"/>
        <v>0.24187149461336332</v>
      </c>
    </row>
    <row r="66" spans="1:10">
      <c r="A66" s="33" t="e">
        <f>COUNTIF([1]Regions!$D$3:$D$30,BillionEURNEWAGE!$B66)&gt;0</f>
        <v>#VALUE!</v>
      </c>
      <c r="B66" s="33" t="s">
        <v>2238</v>
      </c>
      <c r="C66" s="33" t="s">
        <v>431</v>
      </c>
      <c r="D66" s="33" t="s">
        <v>423</v>
      </c>
      <c r="E66" s="33">
        <v>58.311911482255603</v>
      </c>
      <c r="H66" s="33" t="str">
        <f t="shared" si="0"/>
        <v>ROI</v>
      </c>
      <c r="I66" s="33">
        <f>+[1]BillionEUR!E3617+[1]BillionEUR!E3626+[1]BillionEUR!E3627+[1]BillionEUR!E3628+[1]BillionEUR!E3629+[1]BillionEUR!E3636+[1]BillionEUR!E3641</f>
        <v>58.313050226233514</v>
      </c>
      <c r="J66" s="33">
        <f t="shared" si="1"/>
        <v>1.1387439779113606E-3</v>
      </c>
    </row>
    <row r="67" spans="1:10">
      <c r="A67" s="33" t="e">
        <f>COUNTIF([1]Regions!$D$3:$D$30,BillionEURNEWAGE!$B67)&gt;0</f>
        <v>#VALUE!</v>
      </c>
      <c r="B67" s="33" t="s">
        <v>2238</v>
      </c>
      <c r="C67" s="33" t="s">
        <v>431</v>
      </c>
      <c r="D67" s="33" t="s">
        <v>425</v>
      </c>
      <c r="E67" s="33">
        <v>3.3581470497137702</v>
      </c>
      <c r="H67" s="33" t="str">
        <f t="shared" si="0"/>
        <v>BUI</v>
      </c>
      <c r="I67" s="33">
        <f>+[1]BillionEUR!E3645</f>
        <v>3.3570637319279801</v>
      </c>
      <c r="J67" s="33">
        <f t="shared" si="1"/>
        <v>-1.0833177857900722E-3</v>
      </c>
    </row>
    <row r="68" spans="1:10">
      <c r="A68" s="33" t="e">
        <f>COUNTIF([1]Regions!$D$3:$D$30,BillionEURNEWAGE!$B68)&gt;0</f>
        <v>#VALUE!</v>
      </c>
      <c r="B68" s="33" t="s">
        <v>2238</v>
      </c>
      <c r="C68" s="33" t="s">
        <v>431</v>
      </c>
      <c r="D68" s="33" t="s">
        <v>427</v>
      </c>
      <c r="E68" s="33">
        <v>37.116076397421701</v>
      </c>
      <c r="H68" s="33" t="str">
        <f t="shared" si="0"/>
        <v>TRN</v>
      </c>
      <c r="I68" s="33">
        <f>+[1]BillionEUR!E3647+[1]BillionEUR!E3648+[1]BillionEUR!E3649</f>
        <v>37.197580534836305</v>
      </c>
      <c r="J68" s="33">
        <f t="shared" si="1"/>
        <v>8.1504137414604827E-2</v>
      </c>
    </row>
    <row r="69" spans="1:10">
      <c r="A69" s="33" t="e">
        <f>COUNTIF([1]Regions!$D$3:$D$30,BillionEURNEWAGE!$B69)&gt;0</f>
        <v>#VALUE!</v>
      </c>
      <c r="B69" s="33" t="s">
        <v>2238</v>
      </c>
      <c r="C69" s="33" t="s">
        <v>431</v>
      </c>
      <c r="D69" s="33" t="s">
        <v>429</v>
      </c>
      <c r="E69" s="33">
        <v>1.88093904752734</v>
      </c>
      <c r="H69" s="33" t="str">
        <f t="shared" si="0"/>
        <v>AGR</v>
      </c>
      <c r="I69" s="34">
        <f>+[1]BillionEUR!E3600+[1]BillionEUR!E3601+[1]BillionEUR!E3602+[1]BillionEUR!E3603+[1]BillionEUR!E3604+[1]BillionEUR!E3605+[1]BillionEUR!E3606+[1]BillionEUR!E3607+[1]BillionEUR!E3608+[1]BillionEUR!E3609+[1]BillionEUR!E3610+[1]BillionEUR!E3611+[1]BillionEUR!E3612+[1]BillionEUR!E3613</f>
        <v>3.4549061001663839</v>
      </c>
      <c r="J69" s="33">
        <f t="shared" si="1"/>
        <v>1.5739670526390439</v>
      </c>
    </row>
    <row r="70" spans="1:10">
      <c r="A70" s="33" t="e">
        <f>COUNTIF([1]Regions!$D$3:$D$30,BillionEURNEWAGE!$B70)&gt;0</f>
        <v>#VALUE!</v>
      </c>
      <c r="B70" s="33" t="s">
        <v>2238</v>
      </c>
      <c r="C70" s="33" t="s">
        <v>431</v>
      </c>
      <c r="D70" s="33" t="s">
        <v>430</v>
      </c>
      <c r="E70" s="33">
        <v>699.76452512456899</v>
      </c>
      <c r="H70" s="33" t="str">
        <f t="shared" si="0"/>
        <v>SER</v>
      </c>
      <c r="I70" s="33">
        <f>+[1]BillionEUR!E3595+[1]BillionEUR!E3596+[1]BillionEUR!E3597+[1]BillionEUR!E3598+[1]BillionEUR!E3599+[1]BillionEUR!E3644+[1]BillionEUR!E3646+[1]BillionEUR!E3650+[1]BillionEUR!E3651</f>
        <v>699.77083087789663</v>
      </c>
      <c r="J70" s="33">
        <f t="shared" si="1"/>
        <v>6.3057533276378308E-3</v>
      </c>
    </row>
    <row r="71" spans="1:10">
      <c r="A71" s="33" t="e">
        <f>COUNTIF([1]Regions!$D$3:$D$30,BillionEURNEWAGE!$B71)&gt;0</f>
        <v>#VALUE!</v>
      </c>
      <c r="B71" s="33" t="s">
        <v>2239</v>
      </c>
      <c r="C71" s="33" t="s">
        <v>431</v>
      </c>
      <c r="D71" s="33" t="s">
        <v>401</v>
      </c>
      <c r="E71" s="33">
        <v>10.1871186392013</v>
      </c>
    </row>
    <row r="72" spans="1:10">
      <c r="A72" s="33" t="e">
        <f>COUNTIF([1]Regions!$D$3:$D$30,BillionEURNEWAGE!$B72)&gt;0</f>
        <v>#VALUE!</v>
      </c>
      <c r="B72" s="33" t="s">
        <v>2239</v>
      </c>
      <c r="C72" s="33" t="s">
        <v>431</v>
      </c>
      <c r="D72" s="33" t="s">
        <v>402</v>
      </c>
      <c r="E72" s="33">
        <v>2.14248837026715</v>
      </c>
    </row>
    <row r="73" spans="1:10">
      <c r="A73" s="33" t="e">
        <f>COUNTIF([1]Regions!$D$3:$D$30,BillionEURNEWAGE!$B73)&gt;0</f>
        <v>#VALUE!</v>
      </c>
      <c r="B73" s="33" t="s">
        <v>2239</v>
      </c>
      <c r="C73" s="33" t="s">
        <v>431</v>
      </c>
      <c r="D73" s="33" t="s">
        <v>404</v>
      </c>
      <c r="E73" s="33">
        <v>12.246618677233799</v>
      </c>
    </row>
    <row r="74" spans="1:10">
      <c r="A74" s="33" t="e">
        <f>COUNTIF([1]Regions!$D$3:$D$30,BillionEURNEWAGE!$B74)&gt;0</f>
        <v>#VALUE!</v>
      </c>
      <c r="B74" s="33" t="s">
        <v>2239</v>
      </c>
      <c r="C74" s="33" t="s">
        <v>431</v>
      </c>
      <c r="D74" s="33" t="s">
        <v>406</v>
      </c>
      <c r="E74" s="33">
        <v>3.9635404073844902</v>
      </c>
    </row>
    <row r="75" spans="1:10">
      <c r="A75" s="33" t="e">
        <f>COUNTIF([1]Regions!$D$3:$D$30,BillionEURNEWAGE!$B75)&gt;0</f>
        <v>#VALUE!</v>
      </c>
      <c r="B75" s="33" t="s">
        <v>2239</v>
      </c>
      <c r="C75" s="33" t="s">
        <v>431</v>
      </c>
      <c r="D75" s="33" t="s">
        <v>408</v>
      </c>
      <c r="E75" s="33">
        <v>2.8417916147328499E-3</v>
      </c>
    </row>
    <row r="76" spans="1:10">
      <c r="A76" s="33" t="e">
        <f>COUNTIF([1]Regions!$D$3:$D$30,BillionEURNEWAGE!$B76)&gt;0</f>
        <v>#VALUE!</v>
      </c>
      <c r="B76" s="33" t="s">
        <v>2239</v>
      </c>
      <c r="C76" s="33" t="s">
        <v>431</v>
      </c>
      <c r="D76" s="33" t="s">
        <v>410</v>
      </c>
      <c r="E76" s="33">
        <v>16.016911631411698</v>
      </c>
    </row>
    <row r="77" spans="1:10">
      <c r="A77" s="33" t="e">
        <f>COUNTIF([1]Regions!$D$3:$D$30,BillionEURNEWAGE!$B77)&gt;0</f>
        <v>#VALUE!</v>
      </c>
      <c r="B77" s="33" t="s">
        <v>2239</v>
      </c>
      <c r="C77" s="33" t="s">
        <v>431</v>
      </c>
      <c r="D77" s="33" t="s">
        <v>411</v>
      </c>
      <c r="E77" s="33">
        <v>11.8634487479233</v>
      </c>
    </row>
    <row r="78" spans="1:10">
      <c r="A78" s="33" t="e">
        <f>COUNTIF([1]Regions!$D$3:$D$30,BillionEURNEWAGE!$B78)&gt;0</f>
        <v>#VALUE!</v>
      </c>
      <c r="B78" s="33" t="s">
        <v>2239</v>
      </c>
      <c r="C78" s="33" t="s">
        <v>431</v>
      </c>
      <c r="D78" s="33" t="s">
        <v>416</v>
      </c>
      <c r="E78" s="33">
        <v>18.533492422843299</v>
      </c>
    </row>
    <row r="79" spans="1:10">
      <c r="A79" s="33" t="e">
        <f>COUNTIF([1]Regions!$D$3:$D$30,BillionEURNEWAGE!$B79)&gt;0</f>
        <v>#VALUE!</v>
      </c>
      <c r="B79" s="33" t="s">
        <v>2239</v>
      </c>
      <c r="C79" s="33" t="s">
        <v>431</v>
      </c>
      <c r="D79" s="33" t="s">
        <v>418</v>
      </c>
      <c r="E79" s="33">
        <v>2.0947602434619101E-3</v>
      </c>
    </row>
    <row r="80" spans="1:10">
      <c r="A80" s="33" t="e">
        <f>COUNTIF([1]Regions!$D$3:$D$30,BillionEURNEWAGE!$B80)&gt;0</f>
        <v>#VALUE!</v>
      </c>
      <c r="B80" s="33" t="s">
        <v>2239</v>
      </c>
      <c r="C80" s="33" t="s">
        <v>431</v>
      </c>
      <c r="D80" s="33" t="s">
        <v>420</v>
      </c>
      <c r="E80" s="33">
        <v>25.648986204128001</v>
      </c>
    </row>
    <row r="81" spans="1:5">
      <c r="A81" s="33" t="e">
        <f>COUNTIF([1]Regions!$D$3:$D$30,BillionEURNEWAGE!$B81)&gt;0</f>
        <v>#VALUE!</v>
      </c>
      <c r="B81" s="33" t="s">
        <v>2239</v>
      </c>
      <c r="C81" s="33" t="s">
        <v>431</v>
      </c>
      <c r="D81" s="33" t="s">
        <v>421</v>
      </c>
      <c r="E81" s="33">
        <v>72.996828420835399</v>
      </c>
    </row>
    <row r="82" spans="1:5">
      <c r="A82" s="33" t="e">
        <f>COUNTIF([1]Regions!$D$3:$D$30,BillionEURNEWAGE!$B82)&gt;0</f>
        <v>#VALUE!</v>
      </c>
      <c r="B82" s="33" t="s">
        <v>2239</v>
      </c>
      <c r="C82" s="33" t="s">
        <v>431</v>
      </c>
      <c r="D82" s="33" t="s">
        <v>423</v>
      </c>
      <c r="E82" s="33">
        <v>75.294279446508597</v>
      </c>
    </row>
    <row r="83" spans="1:5">
      <c r="A83" s="33" t="e">
        <f>COUNTIF([1]Regions!$D$3:$D$30,BillionEURNEWAGE!$B83)&gt;0</f>
        <v>#VALUE!</v>
      </c>
      <c r="B83" s="33" t="s">
        <v>2239</v>
      </c>
      <c r="C83" s="33" t="s">
        <v>431</v>
      </c>
      <c r="D83" s="33" t="s">
        <v>425</v>
      </c>
      <c r="E83" s="33">
        <v>6.87105806422701</v>
      </c>
    </row>
    <row r="84" spans="1:5">
      <c r="A84" s="33" t="e">
        <f>COUNTIF([1]Regions!$D$3:$D$30,BillionEURNEWAGE!$B84)&gt;0</f>
        <v>#VALUE!</v>
      </c>
      <c r="B84" s="33" t="s">
        <v>2239</v>
      </c>
      <c r="C84" s="33" t="s">
        <v>431</v>
      </c>
      <c r="D84" s="33" t="s">
        <v>427</v>
      </c>
      <c r="E84" s="33">
        <v>34.932238222803598</v>
      </c>
    </row>
    <row r="85" spans="1:5">
      <c r="A85" s="33" t="e">
        <f>COUNTIF([1]Regions!$D$3:$D$30,BillionEURNEWAGE!$B85)&gt;0</f>
        <v>#VALUE!</v>
      </c>
      <c r="B85" s="33" t="s">
        <v>2239</v>
      </c>
      <c r="C85" s="33" t="s">
        <v>431</v>
      </c>
      <c r="D85" s="33" t="s">
        <v>429</v>
      </c>
      <c r="E85" s="33">
        <v>7.8467218517392503</v>
      </c>
    </row>
    <row r="86" spans="1:5">
      <c r="A86" s="33" t="e">
        <f>COUNTIF([1]Regions!$D$3:$D$30,BillionEURNEWAGE!$B86)&gt;0</f>
        <v>#VALUE!</v>
      </c>
      <c r="B86" s="33" t="s">
        <v>2239</v>
      </c>
      <c r="C86" s="33" t="s">
        <v>431</v>
      </c>
      <c r="D86" s="33" t="s">
        <v>430</v>
      </c>
      <c r="E86" s="33">
        <v>466.71552961574002</v>
      </c>
    </row>
    <row r="87" spans="1:5">
      <c r="A87" s="33" t="e">
        <f>COUNTIF([1]Regions!$D$3:$D$30,BillionEURNEWAGE!$B87)&gt;0</f>
        <v>#VALUE!</v>
      </c>
      <c r="B87" s="33" t="s">
        <v>2240</v>
      </c>
      <c r="C87" s="33" t="s">
        <v>431</v>
      </c>
      <c r="D87" s="33" t="s">
        <v>401</v>
      </c>
      <c r="E87" s="33">
        <v>4.1638921484684603</v>
      </c>
    </row>
    <row r="88" spans="1:5">
      <c r="A88" s="33" t="e">
        <f>COUNTIF([1]Regions!$D$3:$D$30,BillionEURNEWAGE!$B88)&gt;0</f>
        <v>#VALUE!</v>
      </c>
      <c r="B88" s="33" t="s">
        <v>2240</v>
      </c>
      <c r="C88" s="33" t="s">
        <v>431</v>
      </c>
      <c r="D88" s="33" t="s">
        <v>402</v>
      </c>
      <c r="E88" s="33">
        <v>0.15152499490306801</v>
      </c>
    </row>
    <row r="89" spans="1:5">
      <c r="A89" s="33" t="e">
        <f>COUNTIF([1]Regions!$D$3:$D$30,BillionEURNEWAGE!$B89)&gt;0</f>
        <v>#VALUE!</v>
      </c>
      <c r="B89" s="33" t="s">
        <v>2240</v>
      </c>
      <c r="C89" s="33" t="s">
        <v>431</v>
      </c>
      <c r="D89" s="33" t="s">
        <v>404</v>
      </c>
      <c r="E89" s="33">
        <v>3.1494144630524601</v>
      </c>
    </row>
    <row r="90" spans="1:5">
      <c r="A90" s="33" t="e">
        <f>COUNTIF([1]Regions!$D$3:$D$30,BillionEURNEWAGE!$B90)&gt;0</f>
        <v>#VALUE!</v>
      </c>
      <c r="B90" s="33" t="s">
        <v>2240</v>
      </c>
      <c r="C90" s="33" t="s">
        <v>431</v>
      </c>
      <c r="D90" s="33" t="s">
        <v>406</v>
      </c>
      <c r="E90" s="33">
        <v>1.5885620466591299</v>
      </c>
    </row>
    <row r="91" spans="1:5">
      <c r="A91" s="33" t="e">
        <f>COUNTIF([1]Regions!$D$3:$D$30,BillionEURNEWAGE!$B91)&gt;0</f>
        <v>#VALUE!</v>
      </c>
      <c r="B91" s="33" t="s">
        <v>2240</v>
      </c>
      <c r="C91" s="33" t="s">
        <v>431</v>
      </c>
      <c r="D91" s="33" t="s">
        <v>408</v>
      </c>
      <c r="E91" s="33">
        <v>9.3393576421988603E-2</v>
      </c>
    </row>
    <row r="92" spans="1:5">
      <c r="A92" s="33" t="e">
        <f>COUNTIF([1]Regions!$D$3:$D$30,BillionEURNEWAGE!$B92)&gt;0</f>
        <v>#VALUE!</v>
      </c>
      <c r="B92" s="33" t="s">
        <v>2240</v>
      </c>
      <c r="C92" s="33" t="s">
        <v>431</v>
      </c>
      <c r="D92" s="33" t="s">
        <v>410</v>
      </c>
      <c r="E92" s="33">
        <v>2.6014538820930899</v>
      </c>
    </row>
    <row r="93" spans="1:5">
      <c r="A93" s="33" t="e">
        <f>COUNTIF([1]Regions!$D$3:$D$30,BillionEURNEWAGE!$B93)&gt;0</f>
        <v>#VALUE!</v>
      </c>
      <c r="B93" s="33" t="s">
        <v>2240</v>
      </c>
      <c r="C93" s="33" t="s">
        <v>431</v>
      </c>
      <c r="D93" s="33" t="s">
        <v>411</v>
      </c>
      <c r="E93" s="33">
        <v>7.5887832061584897</v>
      </c>
    </row>
    <row r="94" spans="1:5">
      <c r="A94" s="33" t="e">
        <f>COUNTIF([1]Regions!$D$3:$D$30,BillionEURNEWAGE!$B94)&gt;0</f>
        <v>#VALUE!</v>
      </c>
      <c r="B94" s="33" t="s">
        <v>2240</v>
      </c>
      <c r="C94" s="33" t="s">
        <v>431</v>
      </c>
      <c r="D94" s="33" t="s">
        <v>413</v>
      </c>
      <c r="E94" s="33">
        <v>0.52248933672609499</v>
      </c>
    </row>
    <row r="95" spans="1:5">
      <c r="A95" s="33" t="e">
        <f>COUNTIF([1]Regions!$D$3:$D$30,BillionEURNEWAGE!$B95)&gt;0</f>
        <v>#VALUE!</v>
      </c>
      <c r="B95" s="33" t="s">
        <v>2240</v>
      </c>
      <c r="C95" s="33" t="s">
        <v>431</v>
      </c>
      <c r="D95" s="33" t="s">
        <v>416</v>
      </c>
      <c r="E95" s="33">
        <v>4.4051799584945801</v>
      </c>
    </row>
    <row r="96" spans="1:5">
      <c r="A96" s="33" t="e">
        <f>COUNTIF([1]Regions!$D$3:$D$30,BillionEURNEWAGE!$B96)&gt;0</f>
        <v>#VALUE!</v>
      </c>
      <c r="B96" s="33" t="s">
        <v>2240</v>
      </c>
      <c r="C96" s="33" t="s">
        <v>431</v>
      </c>
      <c r="D96" s="33" t="s">
        <v>418</v>
      </c>
      <c r="E96" s="33">
        <v>2.7135749439058901E-2</v>
      </c>
    </row>
    <row r="97" spans="1:5">
      <c r="A97" s="33" t="e">
        <f>COUNTIF([1]Regions!$D$3:$D$30,BillionEURNEWAGE!$B97)&gt;0</f>
        <v>#VALUE!</v>
      </c>
      <c r="B97" s="33" t="s">
        <v>2240</v>
      </c>
      <c r="C97" s="33" t="s">
        <v>431</v>
      </c>
      <c r="D97" s="33" t="s">
        <v>420</v>
      </c>
      <c r="E97" s="33">
        <v>2.2484021500773101</v>
      </c>
    </row>
    <row r="98" spans="1:5">
      <c r="A98" s="33" t="e">
        <f>COUNTIF([1]Regions!$D$3:$D$30,BillionEURNEWAGE!$B98)&gt;0</f>
        <v>#VALUE!</v>
      </c>
      <c r="B98" s="33" t="s">
        <v>2240</v>
      </c>
      <c r="C98" s="33" t="s">
        <v>431</v>
      </c>
      <c r="D98" s="33" t="s">
        <v>421</v>
      </c>
      <c r="E98" s="33">
        <v>31.0330945634607</v>
      </c>
    </row>
    <row r="99" spans="1:5">
      <c r="A99" s="33" t="e">
        <f>COUNTIF([1]Regions!$D$3:$D$30,BillionEURNEWAGE!$B99)&gt;0</f>
        <v>#VALUE!</v>
      </c>
      <c r="B99" s="33" t="s">
        <v>2240</v>
      </c>
      <c r="C99" s="33" t="s">
        <v>431</v>
      </c>
      <c r="D99" s="33" t="s">
        <v>423</v>
      </c>
      <c r="E99" s="33">
        <v>8.1631631017200696</v>
      </c>
    </row>
    <row r="100" spans="1:5">
      <c r="A100" s="33" t="e">
        <f>COUNTIF([1]Regions!$D$3:$D$30,BillionEURNEWAGE!$B100)&gt;0</f>
        <v>#VALUE!</v>
      </c>
      <c r="B100" s="33" t="s">
        <v>2240</v>
      </c>
      <c r="C100" s="33" t="s">
        <v>431</v>
      </c>
      <c r="D100" s="33" t="s">
        <v>425</v>
      </c>
      <c r="E100" s="33">
        <v>10.846413480764999</v>
      </c>
    </row>
    <row r="101" spans="1:5">
      <c r="A101" s="33" t="e">
        <f>COUNTIF([1]Regions!$D$3:$D$30,BillionEURNEWAGE!$B101)&gt;0</f>
        <v>#VALUE!</v>
      </c>
      <c r="B101" s="33" t="s">
        <v>2240</v>
      </c>
      <c r="C101" s="33" t="s">
        <v>431</v>
      </c>
      <c r="D101" s="33" t="s">
        <v>427</v>
      </c>
      <c r="E101" s="33">
        <v>8.7453853421332592</v>
      </c>
    </row>
    <row r="102" spans="1:5">
      <c r="A102" s="33" t="e">
        <f>COUNTIF([1]Regions!$D$3:$D$30,BillionEURNEWAGE!$B102)&gt;0</f>
        <v>#VALUE!</v>
      </c>
      <c r="B102" s="33" t="s">
        <v>2240</v>
      </c>
      <c r="C102" s="33" t="s">
        <v>431</v>
      </c>
      <c r="D102" s="33" t="s">
        <v>429</v>
      </c>
      <c r="E102" s="33">
        <v>4.09614638138871</v>
      </c>
    </row>
    <row r="103" spans="1:5">
      <c r="A103" s="33" t="e">
        <f>COUNTIF([1]Regions!$D$3:$D$30,BillionEURNEWAGE!$B103)&gt;0</f>
        <v>#VALUE!</v>
      </c>
      <c r="B103" s="33" t="s">
        <v>2240</v>
      </c>
      <c r="C103" s="33" t="s">
        <v>431</v>
      </c>
      <c r="D103" s="33" t="s">
        <v>430</v>
      </c>
      <c r="E103" s="33">
        <v>90.340603904136998</v>
      </c>
    </row>
    <row r="104" spans="1:5">
      <c r="A104" s="33" t="e">
        <f>COUNTIF([1]Regions!$D$3:$D$30,BillionEURNEWAGE!$B104)&gt;0</f>
        <v>#VALUE!</v>
      </c>
      <c r="B104" s="33" t="s">
        <v>2241</v>
      </c>
      <c r="C104" s="33" t="s">
        <v>431</v>
      </c>
      <c r="D104" s="33" t="s">
        <v>401</v>
      </c>
      <c r="E104" s="33">
        <v>9.8431799210634097</v>
      </c>
    </row>
    <row r="105" spans="1:5">
      <c r="A105" s="33" t="e">
        <f>COUNTIF([1]Regions!$D$3:$D$30,BillionEURNEWAGE!$B105)&gt;0</f>
        <v>#VALUE!</v>
      </c>
      <c r="B105" s="33" t="s">
        <v>2241</v>
      </c>
      <c r="C105" s="33" t="s">
        <v>431</v>
      </c>
      <c r="D105" s="33" t="s">
        <v>404</v>
      </c>
      <c r="E105" s="33">
        <v>7.05473716768486</v>
      </c>
    </row>
    <row r="106" spans="1:5">
      <c r="A106" s="33" t="e">
        <f>COUNTIF([1]Regions!$D$3:$D$30,BillionEURNEWAGE!$B106)&gt;0</f>
        <v>#VALUE!</v>
      </c>
      <c r="B106" s="33" t="s">
        <v>2241</v>
      </c>
      <c r="C106" s="33" t="s">
        <v>431</v>
      </c>
      <c r="D106" s="33" t="s">
        <v>406</v>
      </c>
      <c r="E106" s="33">
        <v>0.47300682241533099</v>
      </c>
    </row>
    <row r="107" spans="1:5">
      <c r="A107" s="33" t="e">
        <f>COUNTIF([1]Regions!$D$3:$D$30,BillionEURNEWAGE!$B107)&gt;0</f>
        <v>#VALUE!</v>
      </c>
      <c r="B107" s="33" t="s">
        <v>2241</v>
      </c>
      <c r="C107" s="33" t="s">
        <v>431</v>
      </c>
      <c r="D107" s="33" t="s">
        <v>408</v>
      </c>
      <c r="E107" s="33">
        <v>3.4592577615716802E-3</v>
      </c>
    </row>
    <row r="108" spans="1:5">
      <c r="A108" s="33" t="e">
        <f>COUNTIF([1]Regions!$D$3:$D$30,BillionEURNEWAGE!$B108)&gt;0</f>
        <v>#VALUE!</v>
      </c>
      <c r="B108" s="33" t="s">
        <v>2241</v>
      </c>
      <c r="C108" s="33" t="s">
        <v>431</v>
      </c>
      <c r="D108" s="33" t="s">
        <v>410</v>
      </c>
      <c r="E108" s="33">
        <v>7.5497212766080404</v>
      </c>
    </row>
    <row r="109" spans="1:5">
      <c r="A109" s="33" t="e">
        <f>COUNTIF([1]Regions!$D$3:$D$30,BillionEURNEWAGE!$B109)&gt;0</f>
        <v>#VALUE!</v>
      </c>
      <c r="B109" s="33" t="s">
        <v>2241</v>
      </c>
      <c r="C109" s="33" t="s">
        <v>431</v>
      </c>
      <c r="D109" s="33" t="s">
        <v>411</v>
      </c>
      <c r="E109" s="33">
        <v>12.2635705311042</v>
      </c>
    </row>
    <row r="110" spans="1:5">
      <c r="A110" s="33" t="e">
        <f>COUNTIF([1]Regions!$D$3:$D$30,BillionEURNEWAGE!$B110)&gt;0</f>
        <v>#VALUE!</v>
      </c>
      <c r="B110" s="33" t="s">
        <v>2241</v>
      </c>
      <c r="C110" s="33" t="s">
        <v>431</v>
      </c>
      <c r="D110" s="33" t="s">
        <v>416</v>
      </c>
      <c r="E110" s="33">
        <v>6.43180537931425</v>
      </c>
    </row>
    <row r="111" spans="1:5">
      <c r="A111" s="33" t="e">
        <f>COUNTIF([1]Regions!$D$3:$D$30,BillionEURNEWAGE!$B111)&gt;0</f>
        <v>#VALUE!</v>
      </c>
      <c r="B111" s="33" t="s">
        <v>2241</v>
      </c>
      <c r="C111" s="33" t="s">
        <v>431</v>
      </c>
      <c r="D111" s="33" t="s">
        <v>418</v>
      </c>
      <c r="E111" s="33">
        <v>1.6295950745856499E-3</v>
      </c>
    </row>
    <row r="112" spans="1:5">
      <c r="A112" s="33" t="e">
        <f>COUNTIF([1]Regions!$D$3:$D$30,BillionEURNEWAGE!$B112)&gt;0</f>
        <v>#VALUE!</v>
      </c>
      <c r="B112" s="33" t="s">
        <v>2241</v>
      </c>
      <c r="C112" s="33" t="s">
        <v>431</v>
      </c>
      <c r="D112" s="33" t="s">
        <v>420</v>
      </c>
      <c r="E112" s="33">
        <v>6.1131721465060602</v>
      </c>
    </row>
    <row r="113" spans="1:5">
      <c r="A113" s="33" t="e">
        <f>COUNTIF([1]Regions!$D$3:$D$30,BillionEURNEWAGE!$B113)&gt;0</f>
        <v>#VALUE!</v>
      </c>
      <c r="B113" s="33" t="s">
        <v>2241</v>
      </c>
      <c r="C113" s="33" t="s">
        <v>431</v>
      </c>
      <c r="D113" s="33" t="s">
        <v>421</v>
      </c>
      <c r="E113" s="33">
        <v>57.843300656412403</v>
      </c>
    </row>
    <row r="114" spans="1:5">
      <c r="A114" s="33" t="e">
        <f>COUNTIF([1]Regions!$D$3:$D$30,BillionEURNEWAGE!$B114)&gt;0</f>
        <v>#VALUE!</v>
      </c>
      <c r="B114" s="33" t="s">
        <v>2241</v>
      </c>
      <c r="C114" s="33" t="s">
        <v>431</v>
      </c>
      <c r="D114" s="33" t="s">
        <v>423</v>
      </c>
      <c r="E114" s="33">
        <v>37.453976713268403</v>
      </c>
    </row>
    <row r="115" spans="1:5">
      <c r="A115" s="33" t="e">
        <f>COUNTIF([1]Regions!$D$3:$D$30,BillionEURNEWAGE!$B115)&gt;0</f>
        <v>#VALUE!</v>
      </c>
      <c r="B115" s="33" t="s">
        <v>2241</v>
      </c>
      <c r="C115" s="33" t="s">
        <v>431</v>
      </c>
      <c r="D115" s="33" t="s">
        <v>425</v>
      </c>
      <c r="E115" s="33">
        <v>2.7563365154714798</v>
      </c>
    </row>
    <row r="116" spans="1:5">
      <c r="A116" s="33" t="e">
        <f>COUNTIF([1]Regions!$D$3:$D$30,BillionEURNEWAGE!$B116)&gt;0</f>
        <v>#VALUE!</v>
      </c>
      <c r="B116" s="33" t="s">
        <v>2241</v>
      </c>
      <c r="C116" s="33" t="s">
        <v>431</v>
      </c>
      <c r="D116" s="33" t="s">
        <v>427</v>
      </c>
      <c r="E116" s="33">
        <v>18.506813758343299</v>
      </c>
    </row>
    <row r="117" spans="1:5">
      <c r="A117" s="33" t="e">
        <f>COUNTIF([1]Regions!$D$3:$D$30,BillionEURNEWAGE!$B117)&gt;0</f>
        <v>#VALUE!</v>
      </c>
      <c r="B117" s="33" t="s">
        <v>2241</v>
      </c>
      <c r="C117" s="33" t="s">
        <v>431</v>
      </c>
      <c r="D117" s="33" t="s">
        <v>429</v>
      </c>
      <c r="E117" s="33">
        <v>7.9198987761418103</v>
      </c>
    </row>
    <row r="118" spans="1:5">
      <c r="A118" s="33" t="e">
        <f>COUNTIF([1]Regions!$D$3:$D$30,BillionEURNEWAGE!$B118)&gt;0</f>
        <v>#VALUE!</v>
      </c>
      <c r="B118" s="33" t="s">
        <v>2241</v>
      </c>
      <c r="C118" s="33" t="s">
        <v>431</v>
      </c>
      <c r="D118" s="33" t="s">
        <v>430</v>
      </c>
      <c r="E118" s="33">
        <v>407.57474846830797</v>
      </c>
    </row>
    <row r="119" spans="1:5">
      <c r="A119" s="33" t="e">
        <f>COUNTIF([1]Regions!$D$3:$D$30,BillionEURNEWAGE!$B119)&gt;0</f>
        <v>#VALUE!</v>
      </c>
      <c r="B119" s="33" t="s">
        <v>2242</v>
      </c>
      <c r="C119" s="33" t="s">
        <v>431</v>
      </c>
      <c r="D119" s="33" t="s">
        <v>401</v>
      </c>
      <c r="E119" s="33">
        <v>18.362704466346798</v>
      </c>
    </row>
    <row r="120" spans="1:5">
      <c r="A120" s="33" t="e">
        <f>COUNTIF([1]Regions!$D$3:$D$30,BillionEURNEWAGE!$B120)&gt;0</f>
        <v>#VALUE!</v>
      </c>
      <c r="B120" s="33" t="s">
        <v>2242</v>
      </c>
      <c r="C120" s="33" t="s">
        <v>431</v>
      </c>
      <c r="D120" s="33" t="s">
        <v>402</v>
      </c>
      <c r="E120" s="33">
        <v>7.8986062634541101</v>
      </c>
    </row>
    <row r="121" spans="1:5">
      <c r="A121" s="33" t="e">
        <f>COUNTIF([1]Regions!$D$3:$D$30,BillionEURNEWAGE!$B121)&gt;0</f>
        <v>#VALUE!</v>
      </c>
      <c r="B121" s="33" t="s">
        <v>2242</v>
      </c>
      <c r="C121" s="33" t="s">
        <v>431</v>
      </c>
      <c r="D121" s="33" t="s">
        <v>404</v>
      </c>
      <c r="E121" s="33">
        <v>3.0081188972306299</v>
      </c>
    </row>
    <row r="122" spans="1:5">
      <c r="A122" s="33" t="e">
        <f>COUNTIF([1]Regions!$D$3:$D$30,BillionEURNEWAGE!$B122)&gt;0</f>
        <v>#VALUE!</v>
      </c>
      <c r="B122" s="33" t="s">
        <v>2242</v>
      </c>
      <c r="C122" s="33" t="s">
        <v>431</v>
      </c>
      <c r="D122" s="33" t="s">
        <v>406</v>
      </c>
      <c r="E122" s="33">
        <v>0.59164745132968799</v>
      </c>
    </row>
    <row r="123" spans="1:5">
      <c r="A123" s="33" t="e">
        <f>COUNTIF([1]Regions!$D$3:$D$30,BillionEURNEWAGE!$B123)&gt;0</f>
        <v>#VALUE!</v>
      </c>
      <c r="B123" s="33" t="s">
        <v>2242</v>
      </c>
      <c r="C123" s="33" t="s">
        <v>431</v>
      </c>
      <c r="D123" s="33" t="s">
        <v>408</v>
      </c>
      <c r="E123" s="33">
        <v>1.9666130302574501E-3</v>
      </c>
    </row>
    <row r="124" spans="1:5">
      <c r="A124" s="33" t="e">
        <f>COUNTIF([1]Regions!$D$3:$D$30,BillionEURNEWAGE!$B124)&gt;0</f>
        <v>#VALUE!</v>
      </c>
      <c r="B124" s="33" t="s">
        <v>2242</v>
      </c>
      <c r="C124" s="33" t="s">
        <v>431</v>
      </c>
      <c r="D124" s="33" t="s">
        <v>410</v>
      </c>
      <c r="E124" s="33">
        <v>8.0950358545424592</v>
      </c>
    </row>
    <row r="125" spans="1:5">
      <c r="A125" s="33" t="e">
        <f>COUNTIF([1]Regions!$D$3:$D$30,BillionEURNEWAGE!$B125)&gt;0</f>
        <v>#VALUE!</v>
      </c>
      <c r="B125" s="33" t="s">
        <v>2242</v>
      </c>
      <c r="C125" s="33" t="s">
        <v>431</v>
      </c>
      <c r="D125" s="33" t="s">
        <v>411</v>
      </c>
      <c r="E125" s="33">
        <v>29.661445797468598</v>
      </c>
    </row>
    <row r="126" spans="1:5">
      <c r="A126" s="33" t="e">
        <f>COUNTIF([1]Regions!$D$3:$D$30,BillionEURNEWAGE!$B126)&gt;0</f>
        <v>#VALUE!</v>
      </c>
      <c r="B126" s="33" t="s">
        <v>2242</v>
      </c>
      <c r="C126" s="33" t="s">
        <v>431</v>
      </c>
      <c r="D126" s="33" t="s">
        <v>413</v>
      </c>
      <c r="E126" s="33">
        <v>0.12538031788588599</v>
      </c>
    </row>
    <row r="127" spans="1:5">
      <c r="A127" s="33" t="e">
        <f>COUNTIF([1]Regions!$D$3:$D$30,BillionEURNEWAGE!$B127)&gt;0</f>
        <v>#VALUE!</v>
      </c>
      <c r="B127" s="33" t="s">
        <v>2242</v>
      </c>
      <c r="C127" s="33" t="s">
        <v>431</v>
      </c>
      <c r="D127" s="33" t="s">
        <v>414</v>
      </c>
      <c r="E127" s="33">
        <v>3.13863749270069E-4</v>
      </c>
    </row>
    <row r="128" spans="1:5">
      <c r="A128" s="33" t="e">
        <f>COUNTIF([1]Regions!$D$3:$D$30,BillionEURNEWAGE!$B128)&gt;0</f>
        <v>#VALUE!</v>
      </c>
      <c r="B128" s="33" t="s">
        <v>2242</v>
      </c>
      <c r="C128" s="33" t="s">
        <v>431</v>
      </c>
      <c r="D128" s="33" t="s">
        <v>416</v>
      </c>
      <c r="E128" s="33">
        <v>5.9197854930857599</v>
      </c>
    </row>
    <row r="129" spans="1:5">
      <c r="A129" s="33" t="e">
        <f>COUNTIF([1]Regions!$D$3:$D$30,BillionEURNEWAGE!$B129)&gt;0</f>
        <v>#VALUE!</v>
      </c>
      <c r="B129" s="33" t="s">
        <v>2242</v>
      </c>
      <c r="C129" s="33" t="s">
        <v>431</v>
      </c>
      <c r="D129" s="33" t="s">
        <v>418</v>
      </c>
      <c r="E129" s="33">
        <v>3.3982737035429297E-2</v>
      </c>
    </row>
    <row r="130" spans="1:5">
      <c r="A130" s="33" t="e">
        <f>COUNTIF([1]Regions!$D$3:$D$30,BillionEURNEWAGE!$B130)&gt;0</f>
        <v>#VALUE!</v>
      </c>
      <c r="B130" s="33" t="s">
        <v>2242</v>
      </c>
      <c r="C130" s="33" t="s">
        <v>431</v>
      </c>
      <c r="D130" s="33" t="s">
        <v>420</v>
      </c>
      <c r="E130" s="33">
        <v>8.3348040728969703</v>
      </c>
    </row>
    <row r="131" spans="1:5">
      <c r="A131" s="33" t="e">
        <f>COUNTIF([1]Regions!$D$3:$D$30,BillionEURNEWAGE!$B131)&gt;0</f>
        <v>#VALUE!</v>
      </c>
      <c r="B131" s="33" t="s">
        <v>2242</v>
      </c>
      <c r="C131" s="33" t="s">
        <v>431</v>
      </c>
      <c r="D131" s="33" t="s">
        <v>421</v>
      </c>
      <c r="E131" s="33">
        <v>78.643615881426996</v>
      </c>
    </row>
    <row r="132" spans="1:5">
      <c r="A132" s="33" t="e">
        <f>COUNTIF([1]Regions!$D$3:$D$30,BillionEURNEWAGE!$B132)&gt;0</f>
        <v>#VALUE!</v>
      </c>
      <c r="B132" s="33" t="s">
        <v>2242</v>
      </c>
      <c r="C132" s="33" t="s">
        <v>431</v>
      </c>
      <c r="D132" s="33" t="s">
        <v>423</v>
      </c>
      <c r="E132" s="33">
        <v>16.0092267407321</v>
      </c>
    </row>
    <row r="133" spans="1:5">
      <c r="A133" s="33" t="e">
        <f>COUNTIF([1]Regions!$D$3:$D$30,BillionEURNEWAGE!$B133)&gt;0</f>
        <v>#VALUE!</v>
      </c>
      <c r="B133" s="33" t="s">
        <v>2242</v>
      </c>
      <c r="C133" s="33" t="s">
        <v>431</v>
      </c>
      <c r="D133" s="33" t="s">
        <v>425</v>
      </c>
      <c r="E133" s="33">
        <v>3.8936292743443999</v>
      </c>
    </row>
    <row r="134" spans="1:5">
      <c r="A134" s="33" t="e">
        <f>COUNTIF([1]Regions!$D$3:$D$30,BillionEURNEWAGE!$B134)&gt;0</f>
        <v>#VALUE!</v>
      </c>
      <c r="B134" s="33" t="s">
        <v>2242</v>
      </c>
      <c r="C134" s="33" t="s">
        <v>431</v>
      </c>
      <c r="D134" s="33" t="s">
        <v>427</v>
      </c>
      <c r="E134" s="33">
        <v>48.005455415477897</v>
      </c>
    </row>
    <row r="135" spans="1:5">
      <c r="A135" s="33" t="e">
        <f>COUNTIF([1]Regions!$D$3:$D$30,BillionEURNEWAGE!$B135)&gt;0</f>
        <v>#VALUE!</v>
      </c>
      <c r="B135" s="33" t="s">
        <v>2242</v>
      </c>
      <c r="C135" s="33" t="s">
        <v>431</v>
      </c>
      <c r="D135" s="33" t="s">
        <v>429</v>
      </c>
      <c r="E135" s="33">
        <v>25.020402107951401</v>
      </c>
    </row>
    <row r="136" spans="1:5">
      <c r="A136" s="33" t="e">
        <f>COUNTIF([1]Regions!$D$3:$D$30,BillionEURNEWAGE!$B136)&gt;0</f>
        <v>#VALUE!</v>
      </c>
      <c r="B136" s="33" t="s">
        <v>2242</v>
      </c>
      <c r="C136" s="33" t="s">
        <v>431</v>
      </c>
      <c r="D136" s="33" t="s">
        <v>430</v>
      </c>
      <c r="E136" s="33">
        <v>275.78869139449802</v>
      </c>
    </row>
    <row r="137" spans="1:5">
      <c r="A137" s="33" t="e">
        <f>COUNTIF([1]Regions!$D$3:$D$30,BillionEURNEWAGE!$B137)&gt;0</f>
        <v>#VALUE!</v>
      </c>
      <c r="B137" s="33" t="s">
        <v>2243</v>
      </c>
      <c r="C137" s="33" t="s">
        <v>431</v>
      </c>
      <c r="D137" s="33" t="s">
        <v>401</v>
      </c>
      <c r="E137" s="33">
        <v>14.4898346468434</v>
      </c>
    </row>
    <row r="138" spans="1:5">
      <c r="A138" s="33" t="e">
        <f>COUNTIF([1]Regions!$D$3:$D$30,BillionEURNEWAGE!$B138)&gt;0</f>
        <v>#VALUE!</v>
      </c>
      <c r="B138" s="33" t="s">
        <v>2243</v>
      </c>
      <c r="C138" s="33" t="s">
        <v>431</v>
      </c>
      <c r="D138" s="33" t="s">
        <v>402</v>
      </c>
      <c r="E138" s="33">
        <v>5.1333394302395901</v>
      </c>
    </row>
    <row r="139" spans="1:5">
      <c r="A139" s="33" t="e">
        <f>COUNTIF([1]Regions!$D$3:$D$30,BillionEURNEWAGE!$B139)&gt;0</f>
        <v>#VALUE!</v>
      </c>
      <c r="B139" s="33" t="s">
        <v>2243</v>
      </c>
      <c r="C139" s="33" t="s">
        <v>431</v>
      </c>
      <c r="D139" s="33" t="s">
        <v>404</v>
      </c>
      <c r="E139" s="33">
        <v>18.825247220134798</v>
      </c>
    </row>
    <row r="140" spans="1:5">
      <c r="A140" s="33" t="e">
        <f>COUNTIF([1]Regions!$D$3:$D$30,BillionEURNEWAGE!$B140)&gt;0</f>
        <v>#VALUE!</v>
      </c>
      <c r="B140" s="33" t="s">
        <v>2243</v>
      </c>
      <c r="C140" s="33" t="s">
        <v>431</v>
      </c>
      <c r="D140" s="33" t="s">
        <v>406</v>
      </c>
      <c r="E140" s="33">
        <v>1.6869221042065701</v>
      </c>
    </row>
    <row r="141" spans="1:5">
      <c r="A141" s="33" t="e">
        <f>COUNTIF([1]Regions!$D$3:$D$30,BillionEURNEWAGE!$B141)&gt;0</f>
        <v>#VALUE!</v>
      </c>
      <c r="B141" s="33" t="s">
        <v>2243</v>
      </c>
      <c r="C141" s="33" t="s">
        <v>431</v>
      </c>
      <c r="D141" s="33" t="s">
        <v>408</v>
      </c>
      <c r="E141" s="33">
        <v>7.6675172624756103E-3</v>
      </c>
    </row>
    <row r="142" spans="1:5">
      <c r="A142" s="33" t="e">
        <f>COUNTIF([1]Regions!$D$3:$D$30,BillionEURNEWAGE!$B142)&gt;0</f>
        <v>#VALUE!</v>
      </c>
      <c r="B142" s="33" t="s">
        <v>2243</v>
      </c>
      <c r="C142" s="33" t="s">
        <v>431</v>
      </c>
      <c r="D142" s="33" t="s">
        <v>410</v>
      </c>
      <c r="E142" s="33">
        <v>18.2392004636393</v>
      </c>
    </row>
    <row r="143" spans="1:5">
      <c r="A143" s="33" t="e">
        <f>COUNTIF([1]Regions!$D$3:$D$30,BillionEURNEWAGE!$B143)&gt;0</f>
        <v>#VALUE!</v>
      </c>
      <c r="B143" s="33" t="s">
        <v>2243</v>
      </c>
      <c r="C143" s="33" t="s">
        <v>431</v>
      </c>
      <c r="D143" s="33" t="s">
        <v>411</v>
      </c>
      <c r="E143" s="33">
        <v>14.6190029786816</v>
      </c>
    </row>
    <row r="144" spans="1:5">
      <c r="A144" s="33" t="e">
        <f>COUNTIF([1]Regions!$D$3:$D$30,BillionEURNEWAGE!$B144)&gt;0</f>
        <v>#VALUE!</v>
      </c>
      <c r="B144" s="33" t="s">
        <v>2243</v>
      </c>
      <c r="C144" s="33" t="s">
        <v>431</v>
      </c>
      <c r="D144" s="33" t="s">
        <v>413</v>
      </c>
      <c r="E144" s="33">
        <v>5.1410688180299598E-2</v>
      </c>
    </row>
    <row r="145" spans="1:5">
      <c r="A145" s="33" t="e">
        <f>COUNTIF([1]Regions!$D$3:$D$30,BillionEURNEWAGE!$B145)&gt;0</f>
        <v>#VALUE!</v>
      </c>
      <c r="B145" s="33" t="s">
        <v>2243</v>
      </c>
      <c r="C145" s="33" t="s">
        <v>431</v>
      </c>
      <c r="D145" s="33" t="s">
        <v>414</v>
      </c>
      <c r="E145" s="34">
        <v>5.7884159713792797E-7</v>
      </c>
    </row>
    <row r="146" spans="1:5">
      <c r="A146" s="33" t="e">
        <f>COUNTIF([1]Regions!$D$3:$D$30,BillionEURNEWAGE!$B146)&gt;0</f>
        <v>#VALUE!</v>
      </c>
      <c r="B146" s="33" t="s">
        <v>2243</v>
      </c>
      <c r="C146" s="33" t="s">
        <v>431</v>
      </c>
      <c r="D146" s="33" t="s">
        <v>416</v>
      </c>
      <c r="E146" s="33">
        <v>13.5636810376485</v>
      </c>
    </row>
    <row r="147" spans="1:5">
      <c r="A147" s="33" t="e">
        <f>COUNTIF([1]Regions!$D$3:$D$30,BillionEURNEWAGE!$B147)&gt;0</f>
        <v>#VALUE!</v>
      </c>
      <c r="B147" s="33" t="s">
        <v>2243</v>
      </c>
      <c r="C147" s="33" t="s">
        <v>431</v>
      </c>
      <c r="D147" s="33" t="s">
        <v>418</v>
      </c>
      <c r="E147" s="33">
        <v>2.98427273282327E-3</v>
      </c>
    </row>
    <row r="148" spans="1:5">
      <c r="A148" s="33" t="e">
        <f>COUNTIF([1]Regions!$D$3:$D$30,BillionEURNEWAGE!$B148)&gt;0</f>
        <v>#VALUE!</v>
      </c>
      <c r="B148" s="33" t="s">
        <v>2243</v>
      </c>
      <c r="C148" s="33" t="s">
        <v>431</v>
      </c>
      <c r="D148" s="33" t="s">
        <v>420</v>
      </c>
      <c r="E148" s="33">
        <v>13.5424177528259</v>
      </c>
    </row>
    <row r="149" spans="1:5">
      <c r="A149" s="33" t="e">
        <f>COUNTIF([1]Regions!$D$3:$D$30,BillionEURNEWAGE!$B149)&gt;0</f>
        <v>#VALUE!</v>
      </c>
      <c r="B149" s="33" t="s">
        <v>2243</v>
      </c>
      <c r="C149" s="33" t="s">
        <v>431</v>
      </c>
      <c r="D149" s="33" t="s">
        <v>421</v>
      </c>
      <c r="E149" s="33">
        <v>80.816681335053502</v>
      </c>
    </row>
    <row r="150" spans="1:5">
      <c r="A150" s="33" t="e">
        <f>COUNTIF([1]Regions!$D$3:$D$30,BillionEURNEWAGE!$B150)&gt;0</f>
        <v>#VALUE!</v>
      </c>
      <c r="B150" s="33" t="s">
        <v>2243</v>
      </c>
      <c r="C150" s="33" t="s">
        <v>431</v>
      </c>
      <c r="D150" s="33" t="s">
        <v>423</v>
      </c>
      <c r="E150" s="33">
        <v>43.410325679928199</v>
      </c>
    </row>
    <row r="151" spans="1:5">
      <c r="A151" s="33" t="e">
        <f>COUNTIF([1]Regions!$D$3:$D$30,BillionEURNEWAGE!$B151)&gt;0</f>
        <v>#VALUE!</v>
      </c>
      <c r="B151" s="33" t="s">
        <v>2243</v>
      </c>
      <c r="C151" s="33" t="s">
        <v>431</v>
      </c>
      <c r="D151" s="33" t="s">
        <v>425</v>
      </c>
      <c r="E151" s="33">
        <v>5.4287947266966903</v>
      </c>
    </row>
    <row r="152" spans="1:5">
      <c r="A152" s="33" t="e">
        <f>COUNTIF([1]Regions!$D$3:$D$30,BillionEURNEWAGE!$B152)&gt;0</f>
        <v>#VALUE!</v>
      </c>
      <c r="B152" s="33" t="s">
        <v>2243</v>
      </c>
      <c r="C152" s="33" t="s">
        <v>431</v>
      </c>
      <c r="D152" s="33" t="s">
        <v>427</v>
      </c>
      <c r="E152" s="33">
        <v>31.914220482788998</v>
      </c>
    </row>
    <row r="153" spans="1:5">
      <c r="A153" s="33" t="e">
        <f>COUNTIF([1]Regions!$D$3:$D$30,BillionEURNEWAGE!$B153)&gt;0</f>
        <v>#VALUE!</v>
      </c>
      <c r="B153" s="33" t="s">
        <v>2243</v>
      </c>
      <c r="C153" s="33" t="s">
        <v>431</v>
      </c>
      <c r="D153" s="33" t="s">
        <v>429</v>
      </c>
      <c r="E153" s="33">
        <v>3.58017169510694</v>
      </c>
    </row>
    <row r="154" spans="1:5">
      <c r="A154" s="33" t="e">
        <f>COUNTIF([1]Regions!$D$3:$D$30,BillionEURNEWAGE!$B154)&gt;0</f>
        <v>#VALUE!</v>
      </c>
      <c r="B154" s="33" t="s">
        <v>2243</v>
      </c>
      <c r="C154" s="33" t="s">
        <v>431</v>
      </c>
      <c r="D154" s="33" t="s">
        <v>430</v>
      </c>
      <c r="E154" s="33">
        <v>611.48232796852403</v>
      </c>
    </row>
    <row r="155" spans="1:5">
      <c r="A155" s="33" t="e">
        <f>COUNTIF([1]Regions!$D$3:$D$30,BillionEURNEWAGE!$B155)&gt;0</f>
        <v>#VALUE!</v>
      </c>
      <c r="B155" s="33" t="s">
        <v>2244</v>
      </c>
      <c r="C155" s="33" t="s">
        <v>431</v>
      </c>
      <c r="D155" s="33" t="s">
        <v>401</v>
      </c>
      <c r="E155" s="33">
        <v>5.3481096463339499</v>
      </c>
    </row>
    <row r="156" spans="1:5">
      <c r="A156" s="33" t="e">
        <f>COUNTIF([1]Regions!$D$3:$D$30,BillionEURNEWAGE!$B156)&gt;0</f>
        <v>#VALUE!</v>
      </c>
      <c r="B156" s="33" t="s">
        <v>2244</v>
      </c>
      <c r="C156" s="33" t="s">
        <v>431</v>
      </c>
      <c r="D156" s="33" t="s">
        <v>402</v>
      </c>
      <c r="E156" s="33">
        <v>1.32720738918277</v>
      </c>
    </row>
    <row r="157" spans="1:5">
      <c r="A157" s="33" t="e">
        <f>COUNTIF([1]Regions!$D$3:$D$30,BillionEURNEWAGE!$B157)&gt;0</f>
        <v>#VALUE!</v>
      </c>
      <c r="B157" s="33" t="s">
        <v>2244</v>
      </c>
      <c r="C157" s="33" t="s">
        <v>431</v>
      </c>
      <c r="D157" s="33" t="s">
        <v>404</v>
      </c>
      <c r="E157" s="33">
        <v>5.8534726911089798</v>
      </c>
    </row>
    <row r="158" spans="1:5">
      <c r="A158" s="33" t="e">
        <f>COUNTIF([1]Regions!$D$3:$D$30,BillionEURNEWAGE!$B158)&gt;0</f>
        <v>#VALUE!</v>
      </c>
      <c r="B158" s="33" t="s">
        <v>2244</v>
      </c>
      <c r="C158" s="33" t="s">
        <v>431</v>
      </c>
      <c r="D158" s="33" t="s">
        <v>406</v>
      </c>
      <c r="E158" s="33">
        <v>1.1954835611691099</v>
      </c>
    </row>
    <row r="159" spans="1:5">
      <c r="A159" s="33" t="e">
        <f>COUNTIF([1]Regions!$D$3:$D$30,BillionEURNEWAGE!$B159)&gt;0</f>
        <v>#VALUE!</v>
      </c>
      <c r="B159" s="33" t="s">
        <v>2244</v>
      </c>
      <c r="C159" s="33" t="s">
        <v>431</v>
      </c>
      <c r="D159" s="33" t="s">
        <v>408</v>
      </c>
      <c r="E159" s="33">
        <v>1.3917653899539801E-2</v>
      </c>
    </row>
    <row r="160" spans="1:5">
      <c r="A160" s="33" t="e">
        <f>COUNTIF([1]Regions!$D$3:$D$30,BillionEURNEWAGE!$B160)&gt;0</f>
        <v>#VALUE!</v>
      </c>
      <c r="B160" s="33" t="s">
        <v>2244</v>
      </c>
      <c r="C160" s="33" t="s">
        <v>431</v>
      </c>
      <c r="D160" s="33" t="s">
        <v>410</v>
      </c>
      <c r="E160" s="33">
        <v>3.5025405211941201</v>
      </c>
    </row>
    <row r="161" spans="1:5">
      <c r="A161" s="33" t="e">
        <f>COUNTIF([1]Regions!$D$3:$D$30,BillionEURNEWAGE!$B161)&gt;0</f>
        <v>#VALUE!</v>
      </c>
      <c r="B161" s="33" t="s">
        <v>2244</v>
      </c>
      <c r="C161" s="33" t="s">
        <v>431</v>
      </c>
      <c r="D161" s="33" t="s">
        <v>411</v>
      </c>
      <c r="E161" s="33">
        <v>4.6124136895513503</v>
      </c>
    </row>
    <row r="162" spans="1:5">
      <c r="A162" s="33" t="e">
        <f>COUNTIF([1]Regions!$D$3:$D$30,BillionEURNEWAGE!$B162)&gt;0</f>
        <v>#VALUE!</v>
      </c>
      <c r="B162" s="33" t="s">
        <v>2244</v>
      </c>
      <c r="C162" s="33" t="s">
        <v>431</v>
      </c>
      <c r="D162" s="33" t="s">
        <v>416</v>
      </c>
      <c r="E162" s="33">
        <v>1.5106880150902799</v>
      </c>
    </row>
    <row r="163" spans="1:5">
      <c r="A163" s="33" t="e">
        <f>COUNTIF([1]Regions!$D$3:$D$30,BillionEURNEWAGE!$B163)&gt;0</f>
        <v>#VALUE!</v>
      </c>
      <c r="B163" s="33" t="s">
        <v>2244</v>
      </c>
      <c r="C163" s="33" t="s">
        <v>431</v>
      </c>
      <c r="D163" s="33" t="s">
        <v>418</v>
      </c>
      <c r="E163" s="33">
        <v>4.3276324463379402E-3</v>
      </c>
    </row>
    <row r="164" spans="1:5">
      <c r="A164" s="33" t="e">
        <f>COUNTIF([1]Regions!$D$3:$D$30,BillionEURNEWAGE!$B164)&gt;0</f>
        <v>#VALUE!</v>
      </c>
      <c r="B164" s="33" t="s">
        <v>2244</v>
      </c>
      <c r="C164" s="33" t="s">
        <v>431</v>
      </c>
      <c r="D164" s="33" t="s">
        <v>420</v>
      </c>
      <c r="E164" s="33">
        <v>5.18788194708657</v>
      </c>
    </row>
    <row r="165" spans="1:5">
      <c r="A165" s="33" t="e">
        <f>COUNTIF([1]Regions!$D$3:$D$30,BillionEURNEWAGE!$B165)&gt;0</f>
        <v>#VALUE!</v>
      </c>
      <c r="B165" s="33" t="s">
        <v>2244</v>
      </c>
      <c r="C165" s="33" t="s">
        <v>431</v>
      </c>
      <c r="D165" s="33" t="s">
        <v>421</v>
      </c>
      <c r="E165" s="33">
        <v>29.633062719737499</v>
      </c>
    </row>
    <row r="166" spans="1:5">
      <c r="A166" s="33" t="e">
        <f>COUNTIF([1]Regions!$D$3:$D$30,BillionEURNEWAGE!$B166)&gt;0</f>
        <v>#VALUE!</v>
      </c>
      <c r="B166" s="33" t="s">
        <v>2244</v>
      </c>
      <c r="C166" s="33" t="s">
        <v>431</v>
      </c>
      <c r="D166" s="33" t="s">
        <v>423</v>
      </c>
      <c r="E166" s="33">
        <v>7.9907298990292199</v>
      </c>
    </row>
    <row r="167" spans="1:5">
      <c r="A167" s="33" t="e">
        <f>COUNTIF([1]Regions!$D$3:$D$30,BillionEURNEWAGE!$B167)&gt;0</f>
        <v>#VALUE!</v>
      </c>
      <c r="B167" s="33" t="s">
        <v>2244</v>
      </c>
      <c r="C167" s="33" t="s">
        <v>431</v>
      </c>
      <c r="D167" s="33" t="s">
        <v>425</v>
      </c>
      <c r="E167" s="33">
        <v>0.63181092293191898</v>
      </c>
    </row>
    <row r="168" spans="1:5">
      <c r="A168" s="33" t="e">
        <f>COUNTIF([1]Regions!$D$3:$D$30,BillionEURNEWAGE!$B168)&gt;0</f>
        <v>#VALUE!</v>
      </c>
      <c r="B168" s="33" t="s">
        <v>2244</v>
      </c>
      <c r="C168" s="33" t="s">
        <v>431</v>
      </c>
      <c r="D168" s="33" t="s">
        <v>427</v>
      </c>
      <c r="E168" s="33">
        <v>18.756116495529401</v>
      </c>
    </row>
    <row r="169" spans="1:5">
      <c r="A169" s="33" t="e">
        <f>COUNTIF([1]Regions!$D$3:$D$30,BillionEURNEWAGE!$B169)&gt;0</f>
        <v>#VALUE!</v>
      </c>
      <c r="B169" s="33" t="s">
        <v>2244</v>
      </c>
      <c r="C169" s="33" t="s">
        <v>431</v>
      </c>
      <c r="D169" s="33" t="s">
        <v>429</v>
      </c>
      <c r="E169" s="33">
        <v>1.1648561110974101</v>
      </c>
    </row>
    <row r="170" spans="1:5">
      <c r="A170" s="33" t="e">
        <f>COUNTIF([1]Regions!$D$3:$D$30,BillionEURNEWAGE!$B170)&gt;0</f>
        <v>#VALUE!</v>
      </c>
      <c r="B170" s="33" t="s">
        <v>2244</v>
      </c>
      <c r="C170" s="33" t="s">
        <v>431</v>
      </c>
      <c r="D170" s="33" t="s">
        <v>430</v>
      </c>
      <c r="E170" s="33">
        <v>232.41662484221499</v>
      </c>
    </row>
    <row r="171" spans="1:5">
      <c r="A171" s="33" t="e">
        <f>COUNTIF([1]Regions!$D$3:$D$30,BillionEURNEWAGE!$B171)&gt;0</f>
        <v>#VALUE!</v>
      </c>
      <c r="B171" s="33" t="s">
        <v>2245</v>
      </c>
      <c r="C171" s="33" t="s">
        <v>431</v>
      </c>
      <c r="D171" s="33" t="s">
        <v>401</v>
      </c>
      <c r="E171" s="33">
        <v>6.91911783190527</v>
      </c>
    </row>
    <row r="172" spans="1:5">
      <c r="A172" s="33" t="e">
        <f>COUNTIF([1]Regions!$D$3:$D$30,BillionEURNEWAGE!$B172)&gt;0</f>
        <v>#VALUE!</v>
      </c>
      <c r="B172" s="33" t="s">
        <v>2245</v>
      </c>
      <c r="C172" s="33" t="s">
        <v>431</v>
      </c>
      <c r="D172" s="33" t="s">
        <v>402</v>
      </c>
      <c r="E172" s="33">
        <v>0.183824408829664</v>
      </c>
    </row>
    <row r="173" spans="1:5">
      <c r="A173" s="33" t="e">
        <f>COUNTIF([1]Regions!$D$3:$D$30,BillionEURNEWAGE!$B173)&gt;0</f>
        <v>#VALUE!</v>
      </c>
      <c r="B173" s="33" t="s">
        <v>2245</v>
      </c>
      <c r="C173" s="33" t="s">
        <v>431</v>
      </c>
      <c r="D173" s="33" t="s">
        <v>404</v>
      </c>
      <c r="E173" s="33">
        <v>5.5949827905570704</v>
      </c>
    </row>
    <row r="174" spans="1:5">
      <c r="A174" s="33" t="e">
        <f>COUNTIF([1]Regions!$D$3:$D$30,BillionEURNEWAGE!$B174)&gt;0</f>
        <v>#VALUE!</v>
      </c>
      <c r="B174" s="33" t="s">
        <v>2245</v>
      </c>
      <c r="C174" s="33" t="s">
        <v>431</v>
      </c>
      <c r="D174" s="33" t="s">
        <v>406</v>
      </c>
      <c r="E174" s="33">
        <v>0.86598561237651905</v>
      </c>
    </row>
    <row r="175" spans="1:5">
      <c r="A175" s="33" t="e">
        <f>COUNTIF([1]Regions!$D$3:$D$30,BillionEURNEWAGE!$B175)&gt;0</f>
        <v>#VALUE!</v>
      </c>
      <c r="B175" s="33" t="s">
        <v>2245</v>
      </c>
      <c r="C175" s="33" t="s">
        <v>431</v>
      </c>
      <c r="D175" s="33" t="s">
        <v>408</v>
      </c>
      <c r="E175" s="33">
        <v>7.6042043236780503E-3</v>
      </c>
    </row>
    <row r="176" spans="1:5">
      <c r="A176" s="33" t="e">
        <f>COUNTIF([1]Regions!$D$3:$D$30,BillionEURNEWAGE!$B176)&gt;0</f>
        <v>#VALUE!</v>
      </c>
      <c r="B176" s="33" t="s">
        <v>2245</v>
      </c>
      <c r="C176" s="33" t="s">
        <v>431</v>
      </c>
      <c r="D176" s="33" t="s">
        <v>410</v>
      </c>
      <c r="E176" s="33">
        <v>10.7270837681899</v>
      </c>
    </row>
    <row r="177" spans="1:5">
      <c r="A177" s="33" t="e">
        <f>COUNTIF([1]Regions!$D$3:$D$30,BillionEURNEWAGE!$B177)&gt;0</f>
        <v>#VALUE!</v>
      </c>
      <c r="B177" s="33" t="s">
        <v>2245</v>
      </c>
      <c r="C177" s="33" t="s">
        <v>431</v>
      </c>
      <c r="D177" s="33" t="s">
        <v>411</v>
      </c>
      <c r="E177" s="33">
        <v>14.970758923612699</v>
      </c>
    </row>
    <row r="178" spans="1:5">
      <c r="A178" s="33" t="e">
        <f>COUNTIF([1]Regions!$D$3:$D$30,BillionEURNEWAGE!$B178)&gt;0</f>
        <v>#VALUE!</v>
      </c>
      <c r="B178" s="33" t="s">
        <v>2245</v>
      </c>
      <c r="C178" s="33" t="s">
        <v>431</v>
      </c>
      <c r="D178" s="33" t="s">
        <v>413</v>
      </c>
      <c r="E178" s="33">
        <v>6.7487715863744593E-2</v>
      </c>
    </row>
    <row r="179" spans="1:5">
      <c r="A179" s="33" t="e">
        <f>COUNTIF([1]Regions!$D$3:$D$30,BillionEURNEWAGE!$B179)&gt;0</f>
        <v>#VALUE!</v>
      </c>
      <c r="B179" s="33" t="s">
        <v>2245</v>
      </c>
      <c r="C179" s="33" t="s">
        <v>431</v>
      </c>
      <c r="D179" s="33" t="s">
        <v>414</v>
      </c>
      <c r="E179" s="34">
        <v>1.11642868996932E-5</v>
      </c>
    </row>
    <row r="180" spans="1:5">
      <c r="A180" s="33" t="e">
        <f>COUNTIF([1]Regions!$D$3:$D$30,BillionEURNEWAGE!$B180)&gt;0</f>
        <v>#VALUE!</v>
      </c>
      <c r="B180" s="33" t="s">
        <v>2245</v>
      </c>
      <c r="C180" s="33" t="s">
        <v>431</v>
      </c>
      <c r="D180" s="33" t="s">
        <v>416</v>
      </c>
      <c r="E180" s="33">
        <v>4.6634711805567903</v>
      </c>
    </row>
    <row r="181" spans="1:5">
      <c r="A181" s="33" t="e">
        <f>COUNTIF([1]Regions!$D$3:$D$30,BillionEURNEWAGE!$B181)&gt;0</f>
        <v>#VALUE!</v>
      </c>
      <c r="B181" s="33" t="s">
        <v>2245</v>
      </c>
      <c r="C181" s="33" t="s">
        <v>431</v>
      </c>
      <c r="D181" s="33" t="s">
        <v>418</v>
      </c>
      <c r="E181" s="33">
        <v>2.53153021349349E-3</v>
      </c>
    </row>
    <row r="182" spans="1:5">
      <c r="A182" s="33" t="e">
        <f>COUNTIF([1]Regions!$D$3:$D$30,BillionEURNEWAGE!$B182)&gt;0</f>
        <v>#VALUE!</v>
      </c>
      <c r="B182" s="33" t="s">
        <v>2245</v>
      </c>
      <c r="C182" s="33" t="s">
        <v>431</v>
      </c>
      <c r="D182" s="33" t="s">
        <v>420</v>
      </c>
      <c r="E182" s="33">
        <v>7.9413926490392104</v>
      </c>
    </row>
    <row r="183" spans="1:5">
      <c r="A183" s="33" t="e">
        <f>COUNTIF([1]Regions!$D$3:$D$30,BillionEURNEWAGE!$B183)&gt;0</f>
        <v>#VALUE!</v>
      </c>
      <c r="B183" s="33" t="s">
        <v>2245</v>
      </c>
      <c r="C183" s="33" t="s">
        <v>431</v>
      </c>
      <c r="D183" s="33" t="s">
        <v>421</v>
      </c>
      <c r="E183" s="33">
        <v>35.739801718506698</v>
      </c>
    </row>
    <row r="184" spans="1:5">
      <c r="A184" s="33" t="e">
        <f>COUNTIF([1]Regions!$D$3:$D$30,BillionEURNEWAGE!$B184)&gt;0</f>
        <v>#VALUE!</v>
      </c>
      <c r="B184" s="33" t="s">
        <v>2245</v>
      </c>
      <c r="C184" s="33" t="s">
        <v>431</v>
      </c>
      <c r="D184" s="33" t="s">
        <v>423</v>
      </c>
      <c r="E184" s="33">
        <v>11.292095142175899</v>
      </c>
    </row>
    <row r="185" spans="1:5">
      <c r="A185" s="33" t="e">
        <f>COUNTIF([1]Regions!$D$3:$D$30,BillionEURNEWAGE!$B185)&gt;0</f>
        <v>#VALUE!</v>
      </c>
      <c r="B185" s="33" t="s">
        <v>2245</v>
      </c>
      <c r="C185" s="33" t="s">
        <v>431</v>
      </c>
      <c r="D185" s="33" t="s">
        <v>425</v>
      </c>
      <c r="E185" s="33">
        <v>0.620133500052235</v>
      </c>
    </row>
    <row r="186" spans="1:5">
      <c r="A186" s="33" t="e">
        <f>COUNTIF([1]Regions!$D$3:$D$30,BillionEURNEWAGE!$B186)&gt;0</f>
        <v>#VALUE!</v>
      </c>
      <c r="B186" s="33" t="s">
        <v>2245</v>
      </c>
      <c r="C186" s="33" t="s">
        <v>431</v>
      </c>
      <c r="D186" s="33" t="s">
        <v>427</v>
      </c>
      <c r="E186" s="33">
        <v>15.5416888535262</v>
      </c>
    </row>
    <row r="187" spans="1:5">
      <c r="A187" s="33" t="e">
        <f>COUNTIF([1]Regions!$D$3:$D$30,BillionEURNEWAGE!$B187)&gt;0</f>
        <v>#VALUE!</v>
      </c>
      <c r="B187" s="33" t="s">
        <v>2245</v>
      </c>
      <c r="C187" s="33" t="s">
        <v>431</v>
      </c>
      <c r="D187" s="33" t="s">
        <v>429</v>
      </c>
      <c r="E187" s="33">
        <v>4.57760395333713</v>
      </c>
    </row>
    <row r="188" spans="1:5">
      <c r="A188" s="33" t="e">
        <f>COUNTIF([1]Regions!$D$3:$D$30,BillionEURNEWAGE!$B188)&gt;0</f>
        <v>#VALUE!</v>
      </c>
      <c r="B188" s="33" t="s">
        <v>2245</v>
      </c>
      <c r="C188" s="33" t="s">
        <v>431</v>
      </c>
      <c r="D188" s="33" t="s">
        <v>430</v>
      </c>
      <c r="E188" s="33">
        <v>205.98869498618001</v>
      </c>
    </row>
    <row r="189" spans="1:5">
      <c r="A189" s="33" t="e">
        <f>COUNTIF([1]Regions!$D$3:$D$30,BillionEURNEWAGE!$B189)&gt;0</f>
        <v>#VALUE!</v>
      </c>
      <c r="B189" s="33" t="s">
        <v>2246</v>
      </c>
      <c r="C189" s="33" t="s">
        <v>431</v>
      </c>
      <c r="D189" s="33" t="s">
        <v>401</v>
      </c>
      <c r="E189" s="33">
        <v>12.863470974483301</v>
      </c>
    </row>
    <row r="190" spans="1:5">
      <c r="A190" s="33" t="e">
        <f>COUNTIF([1]Regions!$D$3:$D$30,BillionEURNEWAGE!$B190)&gt;0</f>
        <v>#VALUE!</v>
      </c>
      <c r="B190" s="33" t="s">
        <v>2246</v>
      </c>
      <c r="C190" s="33" t="s">
        <v>431</v>
      </c>
      <c r="D190" s="33" t="s">
        <v>402</v>
      </c>
      <c r="E190" s="33">
        <v>2.0455191401862201</v>
      </c>
    </row>
    <row r="191" spans="1:5">
      <c r="A191" s="33" t="e">
        <f>COUNTIF([1]Regions!$D$3:$D$30,BillionEURNEWAGE!$B191)&gt;0</f>
        <v>#VALUE!</v>
      </c>
      <c r="B191" s="33" t="s">
        <v>2246</v>
      </c>
      <c r="C191" s="33" t="s">
        <v>431</v>
      </c>
      <c r="D191" s="33" t="s">
        <v>404</v>
      </c>
      <c r="E191" s="33">
        <v>6.02777653189227</v>
      </c>
    </row>
    <row r="192" spans="1:5">
      <c r="A192" s="33" t="e">
        <f>COUNTIF([1]Regions!$D$3:$D$30,BillionEURNEWAGE!$B192)&gt;0</f>
        <v>#VALUE!</v>
      </c>
      <c r="B192" s="33" t="s">
        <v>2246</v>
      </c>
      <c r="C192" s="33" t="s">
        <v>431</v>
      </c>
      <c r="D192" s="33" t="s">
        <v>406</v>
      </c>
      <c r="E192" s="33">
        <v>2.4860638329470501</v>
      </c>
    </row>
    <row r="193" spans="1:5">
      <c r="A193" s="33" t="e">
        <f>COUNTIF([1]Regions!$D$3:$D$30,BillionEURNEWAGE!$B193)&gt;0</f>
        <v>#VALUE!</v>
      </c>
      <c r="B193" s="33" t="s">
        <v>2246</v>
      </c>
      <c r="C193" s="33" t="s">
        <v>431</v>
      </c>
      <c r="D193" s="33" t="s">
        <v>408</v>
      </c>
      <c r="E193" s="33">
        <v>5.6380800102794199E-2</v>
      </c>
    </row>
    <row r="194" spans="1:5">
      <c r="A194" s="33" t="e">
        <f>COUNTIF([1]Regions!$D$3:$D$30,BillionEURNEWAGE!$B194)&gt;0</f>
        <v>#VALUE!</v>
      </c>
      <c r="B194" s="33" t="s">
        <v>2246</v>
      </c>
      <c r="C194" s="33" t="s">
        <v>431</v>
      </c>
      <c r="D194" s="33" t="s">
        <v>410</v>
      </c>
      <c r="E194" s="33">
        <v>4.7783839724158401</v>
      </c>
    </row>
    <row r="195" spans="1:5">
      <c r="A195" s="33" t="e">
        <f>COUNTIF([1]Regions!$D$3:$D$30,BillionEURNEWAGE!$B195)&gt;0</f>
        <v>#VALUE!</v>
      </c>
      <c r="B195" s="33" t="s">
        <v>2246</v>
      </c>
      <c r="C195" s="33" t="s">
        <v>431</v>
      </c>
      <c r="D195" s="33" t="s">
        <v>411</v>
      </c>
      <c r="E195" s="33">
        <v>16.302634240599598</v>
      </c>
    </row>
    <row r="196" spans="1:5">
      <c r="A196" s="33" t="e">
        <f>COUNTIF([1]Regions!$D$3:$D$30,BillionEURNEWAGE!$B196)&gt;0</f>
        <v>#VALUE!</v>
      </c>
      <c r="B196" s="33" t="s">
        <v>2246</v>
      </c>
      <c r="C196" s="33" t="s">
        <v>431</v>
      </c>
      <c r="D196" s="33" t="s">
        <v>413</v>
      </c>
      <c r="E196" s="33">
        <v>8.1205190995248006E-2</v>
      </c>
    </row>
    <row r="197" spans="1:5">
      <c r="A197" s="33" t="e">
        <f>COUNTIF([1]Regions!$D$3:$D$30,BillionEURNEWAGE!$B197)&gt;0</f>
        <v>#VALUE!</v>
      </c>
      <c r="B197" s="33" t="s">
        <v>2246</v>
      </c>
      <c r="C197" s="33" t="s">
        <v>431</v>
      </c>
      <c r="D197" s="33" t="s">
        <v>416</v>
      </c>
      <c r="E197" s="33">
        <v>6.5788477914590597</v>
      </c>
    </row>
    <row r="198" spans="1:5">
      <c r="A198" s="33" t="e">
        <f>COUNTIF([1]Regions!$D$3:$D$30,BillionEURNEWAGE!$B198)&gt;0</f>
        <v>#VALUE!</v>
      </c>
      <c r="B198" s="33" t="s">
        <v>2246</v>
      </c>
      <c r="C198" s="33" t="s">
        <v>431</v>
      </c>
      <c r="D198" s="33" t="s">
        <v>418</v>
      </c>
      <c r="E198" s="33">
        <v>1.6796953917712999E-2</v>
      </c>
    </row>
    <row r="199" spans="1:5">
      <c r="A199" s="33" t="e">
        <f>COUNTIF([1]Regions!$D$3:$D$30,BillionEURNEWAGE!$B199)&gt;0</f>
        <v>#VALUE!</v>
      </c>
      <c r="B199" s="33" t="s">
        <v>2246</v>
      </c>
      <c r="C199" s="33" t="s">
        <v>431</v>
      </c>
      <c r="D199" s="33" t="s">
        <v>420</v>
      </c>
      <c r="E199" s="33">
        <v>7.0138413382721403</v>
      </c>
    </row>
    <row r="200" spans="1:5">
      <c r="A200" s="33" t="e">
        <f>COUNTIF([1]Regions!$D$3:$D$30,BillionEURNEWAGE!$B200)&gt;0</f>
        <v>#VALUE!</v>
      </c>
      <c r="B200" s="33" t="s">
        <v>2246</v>
      </c>
      <c r="C200" s="33" t="s">
        <v>431</v>
      </c>
      <c r="D200" s="33" t="s">
        <v>421</v>
      </c>
      <c r="E200" s="33">
        <v>77.666062018285302</v>
      </c>
    </row>
    <row r="201" spans="1:5">
      <c r="A201" s="33" t="e">
        <f>COUNTIF([1]Regions!$D$3:$D$30,BillionEURNEWAGE!$B201)&gt;0</f>
        <v>#VALUE!</v>
      </c>
      <c r="B201" s="33" t="s">
        <v>2246</v>
      </c>
      <c r="C201" s="33" t="s">
        <v>431</v>
      </c>
      <c r="D201" s="33" t="s">
        <v>423</v>
      </c>
      <c r="E201" s="33">
        <v>25.821992187845499</v>
      </c>
    </row>
    <row r="202" spans="1:5">
      <c r="A202" s="33" t="e">
        <f>COUNTIF([1]Regions!$D$3:$D$30,BillionEURNEWAGE!$B202)&gt;0</f>
        <v>#VALUE!</v>
      </c>
      <c r="B202" s="33" t="s">
        <v>2246</v>
      </c>
      <c r="C202" s="33" t="s">
        <v>431</v>
      </c>
      <c r="D202" s="33" t="s">
        <v>425</v>
      </c>
      <c r="E202" s="33">
        <v>2.7255374722707999</v>
      </c>
    </row>
    <row r="203" spans="1:5">
      <c r="A203" s="33" t="e">
        <f>COUNTIF([1]Regions!$D$3:$D$30,BillionEURNEWAGE!$B203)&gt;0</f>
        <v>#VALUE!</v>
      </c>
      <c r="B203" s="33" t="s">
        <v>2246</v>
      </c>
      <c r="C203" s="33" t="s">
        <v>431</v>
      </c>
      <c r="D203" s="33" t="s">
        <v>427</v>
      </c>
      <c r="E203" s="33">
        <v>29.9423041617151</v>
      </c>
    </row>
    <row r="204" spans="1:5">
      <c r="A204" s="33" t="e">
        <f>COUNTIF([1]Regions!$D$3:$D$30,BillionEURNEWAGE!$B204)&gt;0</f>
        <v>#VALUE!</v>
      </c>
      <c r="B204" s="33" t="s">
        <v>2246</v>
      </c>
      <c r="C204" s="33" t="s">
        <v>431</v>
      </c>
      <c r="D204" s="33" t="s">
        <v>429</v>
      </c>
      <c r="E204" s="33">
        <v>19.0538344965933</v>
      </c>
    </row>
    <row r="205" spans="1:5">
      <c r="A205" s="33" t="e">
        <f>COUNTIF([1]Regions!$D$3:$D$30,BillionEURNEWAGE!$B205)&gt;0</f>
        <v>#VALUE!</v>
      </c>
      <c r="B205" s="33" t="s">
        <v>2246</v>
      </c>
      <c r="C205" s="33" t="s">
        <v>431</v>
      </c>
      <c r="D205" s="33" t="s">
        <v>430</v>
      </c>
      <c r="E205" s="33">
        <v>276.10745624763098</v>
      </c>
    </row>
    <row r="206" spans="1:5">
      <c r="A206" s="33" t="e">
        <f>COUNTIF([1]Regions!$D$3:$D$30,BillionEURNEWAGE!$B206)&gt;0</f>
        <v>#VALUE!</v>
      </c>
      <c r="B206" s="33" t="s">
        <v>2247</v>
      </c>
      <c r="C206" s="33" t="s">
        <v>431</v>
      </c>
      <c r="D206" s="33" t="s">
        <v>401</v>
      </c>
      <c r="E206" s="33">
        <v>72.516942042312706</v>
      </c>
    </row>
    <row r="207" spans="1:5">
      <c r="A207" s="33" t="e">
        <f>COUNTIF([1]Regions!$D$3:$D$30,BillionEURNEWAGE!$B207)&gt;0</f>
        <v>#VALUE!</v>
      </c>
      <c r="B207" s="33" t="s">
        <v>2247</v>
      </c>
      <c r="C207" s="33" t="s">
        <v>431</v>
      </c>
      <c r="D207" s="33" t="s">
        <v>402</v>
      </c>
      <c r="E207" s="33">
        <v>3.69619401431029</v>
      </c>
    </row>
    <row r="208" spans="1:5">
      <c r="A208" s="33" t="e">
        <f>COUNTIF([1]Regions!$D$3:$D$30,BillionEURNEWAGE!$B208)&gt;0</f>
        <v>#VALUE!</v>
      </c>
      <c r="B208" s="33" t="s">
        <v>2247</v>
      </c>
      <c r="C208" s="33" t="s">
        <v>431</v>
      </c>
      <c r="D208" s="33" t="s">
        <v>404</v>
      </c>
      <c r="E208" s="33">
        <v>20.147205919665399</v>
      </c>
    </row>
    <row r="209" spans="1:5">
      <c r="A209" s="33" t="e">
        <f>COUNTIF([1]Regions!$D$3:$D$30,BillionEURNEWAGE!$B209)&gt;0</f>
        <v>#VALUE!</v>
      </c>
      <c r="B209" s="33" t="s">
        <v>2247</v>
      </c>
      <c r="C209" s="33" t="s">
        <v>431</v>
      </c>
      <c r="D209" s="33" t="s">
        <v>406</v>
      </c>
      <c r="E209" s="33">
        <v>6.2694811353798503</v>
      </c>
    </row>
    <row r="210" spans="1:5">
      <c r="A210" s="33" t="e">
        <f>COUNTIF([1]Regions!$D$3:$D$30,BillionEURNEWAGE!$B210)&gt;0</f>
        <v>#VALUE!</v>
      </c>
      <c r="B210" s="33" t="s">
        <v>2247</v>
      </c>
      <c r="C210" s="33" t="s">
        <v>431</v>
      </c>
      <c r="D210" s="33" t="s">
        <v>408</v>
      </c>
      <c r="E210" s="33">
        <v>0.74518783300049096</v>
      </c>
    </row>
    <row r="211" spans="1:5">
      <c r="A211" s="33" t="e">
        <f>COUNTIF([1]Regions!$D$3:$D$30,BillionEURNEWAGE!$B211)&gt;0</f>
        <v>#VALUE!</v>
      </c>
      <c r="B211" s="33" t="s">
        <v>2247</v>
      </c>
      <c r="C211" s="33" t="s">
        <v>431</v>
      </c>
      <c r="D211" s="33" t="s">
        <v>410</v>
      </c>
      <c r="E211" s="33">
        <v>78.674168341208897</v>
      </c>
    </row>
    <row r="212" spans="1:5">
      <c r="A212" s="33" t="e">
        <f>COUNTIF([1]Regions!$D$3:$D$30,BillionEURNEWAGE!$B212)&gt;0</f>
        <v>#VALUE!</v>
      </c>
      <c r="B212" s="33" t="s">
        <v>2247</v>
      </c>
      <c r="C212" s="33" t="s">
        <v>431</v>
      </c>
      <c r="D212" s="33" t="s">
        <v>411</v>
      </c>
      <c r="E212" s="33">
        <v>79.164945107070395</v>
      </c>
    </row>
    <row r="213" spans="1:5">
      <c r="A213" s="33" t="e">
        <f>COUNTIF([1]Regions!$D$3:$D$30,BillionEURNEWAGE!$B213)&gt;0</f>
        <v>#VALUE!</v>
      </c>
      <c r="B213" s="33" t="s">
        <v>2247</v>
      </c>
      <c r="C213" s="33" t="s">
        <v>431</v>
      </c>
      <c r="D213" s="33" t="s">
        <v>413</v>
      </c>
      <c r="E213" s="33">
        <v>7.43587593078674E-3</v>
      </c>
    </row>
    <row r="214" spans="1:5">
      <c r="A214" s="33" t="e">
        <f>COUNTIF([1]Regions!$D$3:$D$30,BillionEURNEWAGE!$B214)&gt;0</f>
        <v>#VALUE!</v>
      </c>
      <c r="B214" s="33" t="s">
        <v>2247</v>
      </c>
      <c r="C214" s="33" t="s">
        <v>431</v>
      </c>
      <c r="D214" s="33" t="s">
        <v>414</v>
      </c>
      <c r="E214" s="33">
        <v>5.9862968584451703E-3</v>
      </c>
    </row>
    <row r="215" spans="1:5">
      <c r="A215" s="33" t="e">
        <f>COUNTIF([1]Regions!$D$3:$D$30,BillionEURNEWAGE!$B215)&gt;0</f>
        <v>#VALUE!</v>
      </c>
      <c r="B215" s="33" t="s">
        <v>2247</v>
      </c>
      <c r="C215" s="33" t="s">
        <v>431</v>
      </c>
      <c r="D215" s="33" t="s">
        <v>416</v>
      </c>
      <c r="E215" s="33">
        <v>50.9345911186766</v>
      </c>
    </row>
    <row r="216" spans="1:5">
      <c r="A216" s="33" t="e">
        <f>COUNTIF([1]Regions!$D$3:$D$30,BillionEURNEWAGE!$B216)&gt;0</f>
        <v>#VALUE!</v>
      </c>
      <c r="B216" s="33" t="s">
        <v>2247</v>
      </c>
      <c r="C216" s="33" t="s">
        <v>431</v>
      </c>
      <c r="D216" s="33" t="s">
        <v>418</v>
      </c>
      <c r="E216" s="33">
        <v>9.2934995465545803E-2</v>
      </c>
    </row>
    <row r="217" spans="1:5">
      <c r="A217" s="33" t="e">
        <f>COUNTIF([1]Regions!$D$3:$D$30,BillionEURNEWAGE!$B217)&gt;0</f>
        <v>#VALUE!</v>
      </c>
      <c r="B217" s="33" t="s">
        <v>2247</v>
      </c>
      <c r="C217" s="33" t="s">
        <v>431</v>
      </c>
      <c r="D217" s="33" t="s">
        <v>420</v>
      </c>
      <c r="E217" s="33">
        <v>74.696468107442797</v>
      </c>
    </row>
    <row r="218" spans="1:5">
      <c r="A218" s="33" t="e">
        <f>COUNTIF([1]Regions!$D$3:$D$30,BillionEURNEWAGE!$B218)&gt;0</f>
        <v>#VALUE!</v>
      </c>
      <c r="B218" s="33" t="s">
        <v>2247</v>
      </c>
      <c r="C218" s="33" t="s">
        <v>431</v>
      </c>
      <c r="D218" s="33" t="s">
        <v>421</v>
      </c>
      <c r="E218" s="33">
        <v>409.681125624949</v>
      </c>
    </row>
    <row r="219" spans="1:5">
      <c r="A219" s="33" t="e">
        <f>COUNTIF([1]Regions!$D$3:$D$30,BillionEURNEWAGE!$B219)&gt;0</f>
        <v>#VALUE!</v>
      </c>
      <c r="B219" s="33" t="s">
        <v>2247</v>
      </c>
      <c r="C219" s="33" t="s">
        <v>431</v>
      </c>
      <c r="D219" s="33" t="s">
        <v>423</v>
      </c>
      <c r="E219" s="33">
        <v>73.752415151365696</v>
      </c>
    </row>
    <row r="220" spans="1:5">
      <c r="A220" s="33" t="e">
        <f>COUNTIF([1]Regions!$D$3:$D$30,BillionEURNEWAGE!$B220)&gt;0</f>
        <v>#VALUE!</v>
      </c>
      <c r="B220" s="33" t="s">
        <v>2247</v>
      </c>
      <c r="C220" s="33" t="s">
        <v>431</v>
      </c>
      <c r="D220" s="33" t="s">
        <v>425</v>
      </c>
      <c r="E220" s="33">
        <v>2.38890766943303</v>
      </c>
    </row>
    <row r="221" spans="1:5">
      <c r="A221" s="33" t="e">
        <f>COUNTIF([1]Regions!$D$3:$D$30,BillionEURNEWAGE!$B221)&gt;0</f>
        <v>#VALUE!</v>
      </c>
      <c r="B221" s="33" t="s">
        <v>2247</v>
      </c>
      <c r="C221" s="33" t="s">
        <v>431</v>
      </c>
      <c r="D221" s="33" t="s">
        <v>427</v>
      </c>
      <c r="E221" s="33">
        <v>250.93738193097701</v>
      </c>
    </row>
    <row r="222" spans="1:5">
      <c r="A222" s="33" t="e">
        <f>COUNTIF([1]Regions!$D$3:$D$30,BillionEURNEWAGE!$B222)&gt;0</f>
        <v>#VALUE!</v>
      </c>
      <c r="B222" s="33" t="s">
        <v>2247</v>
      </c>
      <c r="C222" s="33" t="s">
        <v>431</v>
      </c>
      <c r="D222" s="33" t="s">
        <v>429</v>
      </c>
      <c r="E222" s="33">
        <v>57.808531406162601</v>
      </c>
    </row>
    <row r="223" spans="1:5">
      <c r="A223" s="33" t="e">
        <f>COUNTIF([1]Regions!$D$3:$D$30,BillionEURNEWAGE!$B223)&gt;0</f>
        <v>#VALUE!</v>
      </c>
      <c r="B223" s="33" t="s">
        <v>2247</v>
      </c>
      <c r="C223" s="33" t="s">
        <v>431</v>
      </c>
      <c r="D223" s="33" t="s">
        <v>430</v>
      </c>
      <c r="E223" s="33">
        <v>3387.7708308624101</v>
      </c>
    </row>
    <row r="224" spans="1:5">
      <c r="A224" s="33" t="e">
        <f>COUNTIF([1]Regions!$D$3:$D$30,BillionEURNEWAGE!$B224)&gt;0</f>
        <v>#VALUE!</v>
      </c>
      <c r="B224" s="33" t="s">
        <v>2248</v>
      </c>
      <c r="C224" s="33" t="s">
        <v>431</v>
      </c>
      <c r="D224" s="33" t="s">
        <v>401</v>
      </c>
      <c r="E224" s="33">
        <v>12.793666247929499</v>
      </c>
    </row>
    <row r="225" spans="1:5">
      <c r="A225" s="33" t="e">
        <f>COUNTIF([1]Regions!$D$3:$D$30,BillionEURNEWAGE!$B225)&gt;0</f>
        <v>#VALUE!</v>
      </c>
      <c r="B225" s="33" t="s">
        <v>2248</v>
      </c>
      <c r="C225" s="33" t="s">
        <v>431</v>
      </c>
      <c r="D225" s="33" t="s">
        <v>402</v>
      </c>
      <c r="E225" s="33">
        <v>5.1234850954005297E-2</v>
      </c>
    </row>
    <row r="226" spans="1:5">
      <c r="A226" s="33" t="e">
        <f>COUNTIF([1]Regions!$D$3:$D$30,BillionEURNEWAGE!$B226)&gt;0</f>
        <v>#VALUE!</v>
      </c>
      <c r="B226" s="33" t="s">
        <v>2248</v>
      </c>
      <c r="C226" s="33" t="s">
        <v>431</v>
      </c>
      <c r="D226" s="33" t="s">
        <v>404</v>
      </c>
      <c r="E226" s="33">
        <v>11.502199551649401</v>
      </c>
    </row>
    <row r="227" spans="1:5">
      <c r="A227" s="33" t="e">
        <f>COUNTIF([1]Regions!$D$3:$D$30,BillionEURNEWAGE!$B227)&gt;0</f>
        <v>#VALUE!</v>
      </c>
      <c r="B227" s="33" t="s">
        <v>2248</v>
      </c>
      <c r="C227" s="33" t="s">
        <v>431</v>
      </c>
      <c r="D227" s="33" t="s">
        <v>406</v>
      </c>
      <c r="E227" s="33">
        <v>0.77064074839379304</v>
      </c>
    </row>
    <row r="228" spans="1:5">
      <c r="A228" s="33" t="e">
        <f>COUNTIF([1]Regions!$D$3:$D$30,BillionEURNEWAGE!$B228)&gt;0</f>
        <v>#VALUE!</v>
      </c>
      <c r="B228" s="33" t="s">
        <v>2248</v>
      </c>
      <c r="C228" s="33" t="s">
        <v>431</v>
      </c>
      <c r="D228" s="33" t="s">
        <v>408</v>
      </c>
      <c r="E228" s="33">
        <v>3.0149770087270701E-3</v>
      </c>
    </row>
    <row r="229" spans="1:5">
      <c r="A229" s="33" t="e">
        <f>COUNTIF([1]Regions!$D$3:$D$30,BillionEURNEWAGE!$B229)&gt;0</f>
        <v>#VALUE!</v>
      </c>
      <c r="B229" s="33" t="s">
        <v>2248</v>
      </c>
      <c r="C229" s="33" t="s">
        <v>431</v>
      </c>
      <c r="D229" s="33" t="s">
        <v>410</v>
      </c>
      <c r="E229" s="33">
        <v>23.2165364964203</v>
      </c>
    </row>
    <row r="230" spans="1:5">
      <c r="A230" s="33" t="e">
        <f>COUNTIF([1]Regions!$D$3:$D$30,BillionEURNEWAGE!$B230)&gt;0</f>
        <v>#VALUE!</v>
      </c>
      <c r="B230" s="33" t="s">
        <v>2248</v>
      </c>
      <c r="C230" s="33" t="s">
        <v>431</v>
      </c>
      <c r="D230" s="33" t="s">
        <v>411</v>
      </c>
      <c r="E230" s="33">
        <v>10.6723082362073</v>
      </c>
    </row>
    <row r="231" spans="1:5">
      <c r="A231" s="33" t="e">
        <f>COUNTIF([1]Regions!$D$3:$D$30,BillionEURNEWAGE!$B231)&gt;0</f>
        <v>#VALUE!</v>
      </c>
      <c r="B231" s="33" t="s">
        <v>2248</v>
      </c>
      <c r="C231" s="33" t="s">
        <v>431</v>
      </c>
      <c r="D231" s="33" t="s">
        <v>414</v>
      </c>
      <c r="E231" s="34">
        <v>1.2339110347488E-5</v>
      </c>
    </row>
    <row r="232" spans="1:5">
      <c r="A232" s="33" t="e">
        <f>COUNTIF([1]Regions!$D$3:$D$30,BillionEURNEWAGE!$B232)&gt;0</f>
        <v>#VALUE!</v>
      </c>
      <c r="B232" s="33" t="s">
        <v>2248</v>
      </c>
      <c r="C232" s="33" t="s">
        <v>431</v>
      </c>
      <c r="D232" s="33" t="s">
        <v>416</v>
      </c>
      <c r="E232" s="33">
        <v>32.613996835745297</v>
      </c>
    </row>
    <row r="233" spans="1:5">
      <c r="A233" s="33" t="e">
        <f>COUNTIF([1]Regions!$D$3:$D$30,BillionEURNEWAGE!$B233)&gt;0</f>
        <v>#VALUE!</v>
      </c>
      <c r="B233" s="33" t="s">
        <v>2248</v>
      </c>
      <c r="C233" s="33" t="s">
        <v>431</v>
      </c>
      <c r="D233" s="33" t="s">
        <v>418</v>
      </c>
      <c r="E233" s="33">
        <v>2.2567380812077301E-3</v>
      </c>
    </row>
    <row r="234" spans="1:5">
      <c r="A234" s="33" t="e">
        <f>COUNTIF([1]Regions!$D$3:$D$30,BillionEURNEWAGE!$B234)&gt;0</f>
        <v>#VALUE!</v>
      </c>
      <c r="B234" s="33" t="s">
        <v>2248</v>
      </c>
      <c r="C234" s="33" t="s">
        <v>431</v>
      </c>
      <c r="D234" s="33" t="s">
        <v>420</v>
      </c>
      <c r="E234" s="33">
        <v>26.931503326815399</v>
      </c>
    </row>
    <row r="235" spans="1:5">
      <c r="A235" s="33" t="e">
        <f>COUNTIF([1]Regions!$D$3:$D$30,BillionEURNEWAGE!$B235)&gt;0</f>
        <v>#VALUE!</v>
      </c>
      <c r="B235" s="33" t="s">
        <v>2248</v>
      </c>
      <c r="C235" s="33" t="s">
        <v>431</v>
      </c>
      <c r="D235" s="33" t="s">
        <v>421</v>
      </c>
      <c r="E235" s="33">
        <v>116.10944808780999</v>
      </c>
    </row>
    <row r="236" spans="1:5">
      <c r="A236" s="33" t="e">
        <f>COUNTIF([1]Regions!$D$3:$D$30,BillionEURNEWAGE!$B236)&gt;0</f>
        <v>#VALUE!</v>
      </c>
      <c r="B236" s="33" t="s">
        <v>2248</v>
      </c>
      <c r="C236" s="33" t="s">
        <v>431</v>
      </c>
      <c r="D236" s="33" t="s">
        <v>423</v>
      </c>
      <c r="E236" s="33">
        <v>54.9649046235171</v>
      </c>
    </row>
    <row r="237" spans="1:5">
      <c r="A237" s="33" t="e">
        <f>COUNTIF([1]Regions!$D$3:$D$30,BillionEURNEWAGE!$B237)&gt;0</f>
        <v>#VALUE!</v>
      </c>
      <c r="B237" s="33" t="s">
        <v>2248</v>
      </c>
      <c r="C237" s="33" t="s">
        <v>431</v>
      </c>
      <c r="D237" s="33" t="s">
        <v>425</v>
      </c>
      <c r="E237" s="33">
        <v>1.9632547022837201E-2</v>
      </c>
    </row>
    <row r="238" spans="1:5">
      <c r="A238" s="33" t="e">
        <f>COUNTIF([1]Regions!$D$3:$D$30,BillionEURNEWAGE!$B238)&gt;0</f>
        <v>#VALUE!</v>
      </c>
      <c r="B238" s="33" t="s">
        <v>2248</v>
      </c>
      <c r="C238" s="33" t="s">
        <v>431</v>
      </c>
      <c r="D238" s="33" t="s">
        <v>427</v>
      </c>
      <c r="E238" s="33">
        <v>52.638767688041199</v>
      </c>
    </row>
    <row r="239" spans="1:5">
      <c r="A239" s="33" t="e">
        <f>COUNTIF([1]Regions!$D$3:$D$30,BillionEURNEWAGE!$B239)&gt;0</f>
        <v>#VALUE!</v>
      </c>
      <c r="B239" s="33" t="s">
        <v>2248</v>
      </c>
      <c r="C239" s="33" t="s">
        <v>431</v>
      </c>
      <c r="D239" s="33" t="s">
        <v>429</v>
      </c>
      <c r="E239" s="33">
        <v>21.713707519819199</v>
      </c>
    </row>
    <row r="240" spans="1:5">
      <c r="A240" s="33" t="e">
        <f>COUNTIF([1]Regions!$D$3:$D$30,BillionEURNEWAGE!$B240)&gt;0</f>
        <v>#VALUE!</v>
      </c>
      <c r="B240" s="33" t="s">
        <v>2248</v>
      </c>
      <c r="C240" s="33" t="s">
        <v>431</v>
      </c>
      <c r="D240" s="33" t="s">
        <v>430</v>
      </c>
      <c r="E240" s="33">
        <v>571.44650203871595</v>
      </c>
    </row>
    <row r="241" spans="1:5">
      <c r="A241" s="33" t="e">
        <f>COUNTIF([1]Regions!$D$3:$D$30,BillionEURNEWAGE!$B241)&gt;0</f>
        <v>#VALUE!</v>
      </c>
      <c r="B241" s="33" t="s">
        <v>2249</v>
      </c>
      <c r="C241" s="33" t="s">
        <v>431</v>
      </c>
      <c r="D241" s="33" t="s">
        <v>401</v>
      </c>
      <c r="E241" s="33">
        <v>44.096868680683201</v>
      </c>
    </row>
    <row r="242" spans="1:5">
      <c r="A242" s="33" t="e">
        <f>COUNTIF([1]Regions!$D$3:$D$30,BillionEURNEWAGE!$B242)&gt;0</f>
        <v>#VALUE!</v>
      </c>
      <c r="B242" s="33" t="s">
        <v>2249</v>
      </c>
      <c r="C242" s="33" t="s">
        <v>431</v>
      </c>
      <c r="D242" s="33" t="s">
        <v>404</v>
      </c>
      <c r="E242" s="33">
        <v>9.4861272046051699</v>
      </c>
    </row>
    <row r="243" spans="1:5">
      <c r="A243" s="33" t="e">
        <f>COUNTIF([1]Regions!$D$3:$D$30,BillionEURNEWAGE!$B243)&gt;0</f>
        <v>#VALUE!</v>
      </c>
      <c r="B243" s="33" t="s">
        <v>2249</v>
      </c>
      <c r="C243" s="33" t="s">
        <v>431</v>
      </c>
      <c r="D243" s="33" t="s">
        <v>406</v>
      </c>
      <c r="E243" s="33">
        <v>3.4705955138411402</v>
      </c>
    </row>
    <row r="244" spans="1:5">
      <c r="A244" s="33" t="e">
        <f>COUNTIF([1]Regions!$D$3:$D$30,BillionEURNEWAGE!$B244)&gt;0</f>
        <v>#VALUE!</v>
      </c>
      <c r="B244" s="33" t="s">
        <v>2249</v>
      </c>
      <c r="C244" s="33" t="s">
        <v>431</v>
      </c>
      <c r="D244" s="33" t="s">
        <v>408</v>
      </c>
      <c r="E244" s="33">
        <v>2.7524400712305799E-2</v>
      </c>
    </row>
    <row r="245" spans="1:5">
      <c r="A245" s="33" t="e">
        <f>COUNTIF([1]Regions!$D$3:$D$30,BillionEURNEWAGE!$B245)&gt;0</f>
        <v>#VALUE!</v>
      </c>
      <c r="B245" s="33" t="s">
        <v>2249</v>
      </c>
      <c r="C245" s="33" t="s">
        <v>431</v>
      </c>
      <c r="D245" s="33" t="s">
        <v>410</v>
      </c>
      <c r="E245" s="33">
        <v>33.549359692892402</v>
      </c>
    </row>
    <row r="246" spans="1:5">
      <c r="A246" s="33" t="e">
        <f>COUNTIF([1]Regions!$D$3:$D$30,BillionEURNEWAGE!$B246)&gt;0</f>
        <v>#VALUE!</v>
      </c>
      <c r="B246" s="33" t="s">
        <v>2249</v>
      </c>
      <c r="C246" s="33" t="s">
        <v>431</v>
      </c>
      <c r="D246" s="33" t="s">
        <v>411</v>
      </c>
      <c r="E246" s="33">
        <v>29.663351414382099</v>
      </c>
    </row>
    <row r="247" spans="1:5">
      <c r="A247" s="33" t="e">
        <f>COUNTIF([1]Regions!$D$3:$D$30,BillionEURNEWAGE!$B247)&gt;0</f>
        <v>#VALUE!</v>
      </c>
      <c r="B247" s="33" t="s">
        <v>2249</v>
      </c>
      <c r="C247" s="33" t="s">
        <v>431</v>
      </c>
      <c r="D247" s="33" t="s">
        <v>413</v>
      </c>
      <c r="E247" s="33">
        <v>2.5287441515653</v>
      </c>
    </row>
    <row r="248" spans="1:5">
      <c r="A248" s="33" t="e">
        <f>COUNTIF([1]Regions!$D$3:$D$30,BillionEURNEWAGE!$B248)&gt;0</f>
        <v>#VALUE!</v>
      </c>
      <c r="B248" s="33" t="s">
        <v>2249</v>
      </c>
      <c r="C248" s="33" t="s">
        <v>431</v>
      </c>
      <c r="D248" s="33" t="s">
        <v>414</v>
      </c>
      <c r="E248" s="34">
        <v>1.19620613749198E-6</v>
      </c>
    </row>
    <row r="249" spans="1:5">
      <c r="A249" s="33" t="e">
        <f>COUNTIF([1]Regions!$D$3:$D$30,BillionEURNEWAGE!$B249)&gt;0</f>
        <v>#VALUE!</v>
      </c>
      <c r="B249" s="33" t="s">
        <v>2249</v>
      </c>
      <c r="C249" s="33" t="s">
        <v>431</v>
      </c>
      <c r="D249" s="33" t="s">
        <v>416</v>
      </c>
      <c r="E249" s="33">
        <v>33.934441106637699</v>
      </c>
    </row>
    <row r="250" spans="1:5">
      <c r="A250" s="33" t="e">
        <f>COUNTIF([1]Regions!$D$3:$D$30,BillionEURNEWAGE!$B250)&gt;0</f>
        <v>#VALUE!</v>
      </c>
      <c r="B250" s="33" t="s">
        <v>2249</v>
      </c>
      <c r="C250" s="33" t="s">
        <v>431</v>
      </c>
      <c r="D250" s="33" t="s">
        <v>418</v>
      </c>
      <c r="E250" s="33">
        <v>5.0743501216348403E-3</v>
      </c>
    </row>
    <row r="251" spans="1:5">
      <c r="A251" s="33" t="e">
        <f>COUNTIF([1]Regions!$D$3:$D$30,BillionEURNEWAGE!$B251)&gt;0</f>
        <v>#VALUE!</v>
      </c>
      <c r="B251" s="33" t="s">
        <v>2249</v>
      </c>
      <c r="C251" s="33" t="s">
        <v>431</v>
      </c>
      <c r="D251" s="33" t="s">
        <v>420</v>
      </c>
      <c r="E251" s="33">
        <v>68.650000426619997</v>
      </c>
    </row>
    <row r="252" spans="1:5">
      <c r="A252" s="33" t="e">
        <f>COUNTIF([1]Regions!$D$3:$D$30,BillionEURNEWAGE!$B252)&gt;0</f>
        <v>#VALUE!</v>
      </c>
      <c r="B252" s="33" t="s">
        <v>2249</v>
      </c>
      <c r="C252" s="33" t="s">
        <v>431</v>
      </c>
      <c r="D252" s="33" t="s">
        <v>421</v>
      </c>
      <c r="E252" s="33">
        <v>322.14774294716102</v>
      </c>
    </row>
    <row r="253" spans="1:5">
      <c r="A253" s="33" t="e">
        <f>COUNTIF([1]Regions!$D$3:$D$30,BillionEURNEWAGE!$B253)&gt;0</f>
        <v>#VALUE!</v>
      </c>
      <c r="B253" s="33" t="s">
        <v>2249</v>
      </c>
      <c r="C253" s="33" t="s">
        <v>431</v>
      </c>
      <c r="D253" s="33" t="s">
        <v>423</v>
      </c>
      <c r="E253" s="33">
        <v>148.415460221041</v>
      </c>
    </row>
    <row r="254" spans="1:5">
      <c r="A254" s="33" t="e">
        <f>COUNTIF([1]Regions!$D$3:$D$30,BillionEURNEWAGE!$B254)&gt;0</f>
        <v>#VALUE!</v>
      </c>
      <c r="B254" s="33" t="s">
        <v>2249</v>
      </c>
      <c r="C254" s="33" t="s">
        <v>431</v>
      </c>
      <c r="D254" s="33" t="s">
        <v>425</v>
      </c>
      <c r="E254" s="33">
        <v>14.2027308277854</v>
      </c>
    </row>
    <row r="255" spans="1:5">
      <c r="A255" s="33" t="e">
        <f>COUNTIF([1]Regions!$D$3:$D$30,BillionEURNEWAGE!$B255)&gt;0</f>
        <v>#VALUE!</v>
      </c>
      <c r="B255" s="33" t="s">
        <v>2249</v>
      </c>
      <c r="C255" s="33" t="s">
        <v>431</v>
      </c>
      <c r="D255" s="33" t="s">
        <v>427</v>
      </c>
      <c r="E255" s="33">
        <v>68.1785711537336</v>
      </c>
    </row>
    <row r="256" spans="1:5">
      <c r="A256" s="33" t="e">
        <f>COUNTIF([1]Regions!$D$3:$D$30,BillionEURNEWAGE!$B256)&gt;0</f>
        <v>#VALUE!</v>
      </c>
      <c r="B256" s="33" t="s">
        <v>2249</v>
      </c>
      <c r="C256" s="33" t="s">
        <v>431</v>
      </c>
      <c r="D256" s="33" t="s">
        <v>429</v>
      </c>
      <c r="E256" s="33">
        <v>128.44084800787701</v>
      </c>
    </row>
    <row r="257" spans="1:5">
      <c r="A257" s="33" t="e">
        <f>COUNTIF([1]Regions!$D$3:$D$30,BillionEURNEWAGE!$B257)&gt;0</f>
        <v>#VALUE!</v>
      </c>
      <c r="B257" s="33" t="s">
        <v>2249</v>
      </c>
      <c r="C257" s="33" t="s">
        <v>431</v>
      </c>
      <c r="D257" s="33" t="s">
        <v>430</v>
      </c>
      <c r="E257" s="33">
        <v>824.81291224968197</v>
      </c>
    </row>
    <row r="258" spans="1:5">
      <c r="A258" s="33" t="e">
        <f>COUNTIF([1]Regions!$D$3:$D$30,BillionEURNEWAGE!$B258)&gt;0</f>
        <v>#VALUE!</v>
      </c>
      <c r="B258" s="33" t="s">
        <v>2250</v>
      </c>
      <c r="C258" s="33" t="s">
        <v>431</v>
      </c>
      <c r="D258" s="33" t="s">
        <v>401</v>
      </c>
      <c r="E258" s="33">
        <v>3.6631249615667598</v>
      </c>
    </row>
    <row r="259" spans="1:5">
      <c r="A259" s="33" t="e">
        <f>COUNTIF([1]Regions!$D$3:$D$30,BillionEURNEWAGE!$B259)&gt;0</f>
        <v>#VALUE!</v>
      </c>
      <c r="B259" s="33" t="s">
        <v>2250</v>
      </c>
      <c r="C259" s="33" t="s">
        <v>431</v>
      </c>
      <c r="D259" s="33" t="s">
        <v>402</v>
      </c>
      <c r="E259" s="34">
        <v>2.4584397986321799E-6</v>
      </c>
    </row>
    <row r="260" spans="1:5">
      <c r="A260" s="33" t="e">
        <f>COUNTIF([1]Regions!$D$3:$D$30,BillionEURNEWAGE!$B260)&gt;0</f>
        <v>#VALUE!</v>
      </c>
      <c r="B260" s="33" t="s">
        <v>2250</v>
      </c>
      <c r="C260" s="33" t="s">
        <v>431</v>
      </c>
      <c r="D260" s="33" t="s">
        <v>404</v>
      </c>
      <c r="E260" s="33">
        <v>0.95318900170629295</v>
      </c>
    </row>
    <row r="261" spans="1:5">
      <c r="A261" s="33" t="e">
        <f>COUNTIF([1]Regions!$D$3:$D$30,BillionEURNEWAGE!$B261)&gt;0</f>
        <v>#VALUE!</v>
      </c>
      <c r="B261" s="33" t="s">
        <v>2250</v>
      </c>
      <c r="C261" s="33" t="s">
        <v>431</v>
      </c>
      <c r="D261" s="33" t="s">
        <v>406</v>
      </c>
      <c r="E261" s="33">
        <v>0.28297167253700301</v>
      </c>
    </row>
    <row r="262" spans="1:5">
      <c r="A262" s="33" t="e">
        <f>COUNTIF([1]Regions!$D$3:$D$30,BillionEURNEWAGE!$B262)&gt;0</f>
        <v>#VALUE!</v>
      </c>
      <c r="B262" s="33" t="s">
        <v>2250</v>
      </c>
      <c r="C262" s="33" t="s">
        <v>431</v>
      </c>
      <c r="D262" s="33" t="s">
        <v>408</v>
      </c>
      <c r="E262" s="33">
        <v>5.1202517740570801E-4</v>
      </c>
    </row>
    <row r="263" spans="1:5">
      <c r="A263" s="33" t="e">
        <f>COUNTIF([1]Regions!$D$3:$D$30,BillionEURNEWAGE!$B263)&gt;0</f>
        <v>#VALUE!</v>
      </c>
      <c r="B263" s="33" t="s">
        <v>2250</v>
      </c>
      <c r="C263" s="33" t="s">
        <v>431</v>
      </c>
      <c r="D263" s="33" t="s">
        <v>410</v>
      </c>
      <c r="E263" s="33">
        <v>3.9199425250653501</v>
      </c>
    </row>
    <row r="264" spans="1:5">
      <c r="A264" s="33" t="e">
        <f>COUNTIF([1]Regions!$D$3:$D$30,BillionEURNEWAGE!$B264)&gt;0</f>
        <v>#VALUE!</v>
      </c>
      <c r="B264" s="33" t="s">
        <v>2250</v>
      </c>
      <c r="C264" s="33" t="s">
        <v>431</v>
      </c>
      <c r="D264" s="33" t="s">
        <v>411</v>
      </c>
      <c r="E264" s="33">
        <v>1.0596697413934999</v>
      </c>
    </row>
    <row r="265" spans="1:5">
      <c r="A265" s="33" t="e">
        <f>COUNTIF([1]Regions!$D$3:$D$30,BillionEURNEWAGE!$B265)&gt;0</f>
        <v>#VALUE!</v>
      </c>
      <c r="B265" s="33" t="s">
        <v>2250</v>
      </c>
      <c r="C265" s="33" t="s">
        <v>431</v>
      </c>
      <c r="D265" s="33" t="s">
        <v>413</v>
      </c>
      <c r="E265" s="33">
        <v>9.69952004950633E-2</v>
      </c>
    </row>
    <row r="266" spans="1:5">
      <c r="A266" s="33" t="e">
        <f>COUNTIF([1]Regions!$D$3:$D$30,BillionEURNEWAGE!$B266)&gt;0</f>
        <v>#VALUE!</v>
      </c>
      <c r="B266" s="33" t="s">
        <v>2250</v>
      </c>
      <c r="C266" s="33" t="s">
        <v>431</v>
      </c>
      <c r="D266" s="33" t="s">
        <v>416</v>
      </c>
      <c r="E266" s="33">
        <v>5.7722821999292098</v>
      </c>
    </row>
    <row r="267" spans="1:5">
      <c r="A267" s="33" t="e">
        <f>COUNTIF([1]Regions!$D$3:$D$30,BillionEURNEWAGE!$B267)&gt;0</f>
        <v>#VALUE!</v>
      </c>
      <c r="B267" s="33" t="s">
        <v>2250</v>
      </c>
      <c r="C267" s="33" t="s">
        <v>431</v>
      </c>
      <c r="D267" s="33" t="s">
        <v>418</v>
      </c>
      <c r="E267" s="33">
        <v>3.7952266144060002E-4</v>
      </c>
    </row>
    <row r="268" spans="1:5">
      <c r="A268" s="33" t="e">
        <f>COUNTIF([1]Regions!$D$3:$D$30,BillionEURNEWAGE!$B268)&gt;0</f>
        <v>#VALUE!</v>
      </c>
      <c r="B268" s="33" t="s">
        <v>2250</v>
      </c>
      <c r="C268" s="33" t="s">
        <v>431</v>
      </c>
      <c r="D268" s="33" t="s">
        <v>420</v>
      </c>
      <c r="E268" s="33">
        <v>1.8717598681138701</v>
      </c>
    </row>
    <row r="269" spans="1:5">
      <c r="A269" s="33" t="e">
        <f>COUNTIF([1]Regions!$D$3:$D$30,BillionEURNEWAGE!$B269)&gt;0</f>
        <v>#VALUE!</v>
      </c>
      <c r="B269" s="33" t="s">
        <v>2250</v>
      </c>
      <c r="C269" s="33" t="s">
        <v>431</v>
      </c>
      <c r="D269" s="33" t="s">
        <v>421</v>
      </c>
      <c r="E269" s="33">
        <v>26.6703960725911</v>
      </c>
    </row>
    <row r="270" spans="1:5">
      <c r="A270" s="33" t="e">
        <f>COUNTIF([1]Regions!$D$3:$D$30,BillionEURNEWAGE!$B270)&gt;0</f>
        <v>#VALUE!</v>
      </c>
      <c r="B270" s="33" t="s">
        <v>2250</v>
      </c>
      <c r="C270" s="33" t="s">
        <v>431</v>
      </c>
      <c r="D270" s="33" t="s">
        <v>423</v>
      </c>
      <c r="E270" s="33">
        <v>14.216072410691901</v>
      </c>
    </row>
    <row r="271" spans="1:5">
      <c r="A271" s="33" t="e">
        <f>COUNTIF([1]Regions!$D$3:$D$30,BillionEURNEWAGE!$B271)&gt;0</f>
        <v>#VALUE!</v>
      </c>
      <c r="B271" s="33" t="s">
        <v>2250</v>
      </c>
      <c r="C271" s="33" t="s">
        <v>431</v>
      </c>
      <c r="D271" s="33" t="s">
        <v>425</v>
      </c>
      <c r="E271" s="33">
        <v>3.1676013617569199E-3</v>
      </c>
    </row>
    <row r="272" spans="1:5">
      <c r="A272" s="33" t="e">
        <f>COUNTIF([1]Regions!$D$3:$D$30,BillionEURNEWAGE!$B272)&gt;0</f>
        <v>#VALUE!</v>
      </c>
      <c r="B272" s="33" t="s">
        <v>2250</v>
      </c>
      <c r="C272" s="33" t="s">
        <v>431</v>
      </c>
      <c r="D272" s="33" t="s">
        <v>427</v>
      </c>
      <c r="E272" s="33">
        <v>5.8758561549603296</v>
      </c>
    </row>
    <row r="273" spans="1:5">
      <c r="A273" s="33" t="e">
        <f>COUNTIF([1]Regions!$D$3:$D$30,BillionEURNEWAGE!$B273)&gt;0</f>
        <v>#VALUE!</v>
      </c>
      <c r="B273" s="33" t="s">
        <v>2250</v>
      </c>
      <c r="C273" s="33" t="s">
        <v>431</v>
      </c>
      <c r="D273" s="33" t="s">
        <v>429</v>
      </c>
      <c r="E273" s="33">
        <v>5.28385121936806</v>
      </c>
    </row>
    <row r="274" spans="1:5">
      <c r="A274" s="33" t="e">
        <f>COUNTIF([1]Regions!$D$3:$D$30,BillionEURNEWAGE!$B274)&gt;0</f>
        <v>#VALUE!</v>
      </c>
      <c r="B274" s="33" t="s">
        <v>2250</v>
      </c>
      <c r="C274" s="33" t="s">
        <v>431</v>
      </c>
      <c r="D274" s="33" t="s">
        <v>430</v>
      </c>
      <c r="E274" s="33">
        <v>76.399759852021702</v>
      </c>
    </row>
    <row r="275" spans="1:5">
      <c r="A275" s="33" t="e">
        <f>COUNTIF([1]Regions!$D$3:$D$30,BillionEURNEWAGE!$B275)&gt;0</f>
        <v>#VALUE!</v>
      </c>
      <c r="B275" s="33" t="s">
        <v>2251</v>
      </c>
      <c r="C275" s="33" t="s">
        <v>431</v>
      </c>
      <c r="D275" s="33" t="s">
        <v>401</v>
      </c>
      <c r="E275" s="33">
        <v>41.815630751500699</v>
      </c>
    </row>
    <row r="276" spans="1:5">
      <c r="A276" s="33" t="e">
        <f>COUNTIF([1]Regions!$D$3:$D$30,BillionEURNEWAGE!$B276)&gt;0</f>
        <v>#VALUE!</v>
      </c>
      <c r="B276" s="33" t="s">
        <v>2251</v>
      </c>
      <c r="C276" s="33" t="s">
        <v>431</v>
      </c>
      <c r="D276" s="33" t="s">
        <v>402</v>
      </c>
      <c r="E276" s="33">
        <v>3.3112453207202401</v>
      </c>
    </row>
    <row r="277" spans="1:5">
      <c r="A277" s="33" t="e">
        <f>COUNTIF([1]Regions!$D$3:$D$30,BillionEURNEWAGE!$B277)&gt;0</f>
        <v>#VALUE!</v>
      </c>
      <c r="B277" s="33" t="s">
        <v>2251</v>
      </c>
      <c r="C277" s="33" t="s">
        <v>431</v>
      </c>
      <c r="D277" s="33" t="s">
        <v>404</v>
      </c>
      <c r="E277" s="33">
        <v>8.5782800230625398</v>
      </c>
    </row>
    <row r="278" spans="1:5">
      <c r="A278" s="33" t="e">
        <f>COUNTIF([1]Regions!$D$3:$D$30,BillionEURNEWAGE!$B278)&gt;0</f>
        <v>#VALUE!</v>
      </c>
      <c r="B278" s="33" t="s">
        <v>2251</v>
      </c>
      <c r="C278" s="33" t="s">
        <v>431</v>
      </c>
      <c r="D278" s="33" t="s">
        <v>406</v>
      </c>
      <c r="E278" s="33">
        <v>6.8394469986761299</v>
      </c>
    </row>
    <row r="279" spans="1:5">
      <c r="A279" s="33" t="e">
        <f>COUNTIF([1]Regions!$D$3:$D$30,BillionEURNEWAGE!$B279)&gt;0</f>
        <v>#VALUE!</v>
      </c>
      <c r="B279" s="33" t="s">
        <v>2251</v>
      </c>
      <c r="C279" s="33" t="s">
        <v>431</v>
      </c>
      <c r="D279" s="33" t="s">
        <v>408</v>
      </c>
      <c r="E279" s="33">
        <v>0.82784379821222898</v>
      </c>
    </row>
    <row r="280" spans="1:5">
      <c r="A280" s="33" t="e">
        <f>COUNTIF([1]Regions!$D$3:$D$30,BillionEURNEWAGE!$B280)&gt;0</f>
        <v>#VALUE!</v>
      </c>
      <c r="B280" s="33" t="s">
        <v>2251</v>
      </c>
      <c r="C280" s="33" t="s">
        <v>431</v>
      </c>
      <c r="D280" s="33" t="s">
        <v>410</v>
      </c>
      <c r="E280" s="33">
        <v>23.365138776329498</v>
      </c>
    </row>
    <row r="281" spans="1:5">
      <c r="A281" s="33" t="e">
        <f>COUNTIF([1]Regions!$D$3:$D$30,BillionEURNEWAGE!$B281)&gt;0</f>
        <v>#VALUE!</v>
      </c>
      <c r="B281" s="33" t="s">
        <v>2251</v>
      </c>
      <c r="C281" s="33" t="s">
        <v>431</v>
      </c>
      <c r="D281" s="33" t="s">
        <v>411</v>
      </c>
      <c r="E281" s="33">
        <v>37.328581808278997</v>
      </c>
    </row>
    <row r="282" spans="1:5">
      <c r="A282" s="33" t="e">
        <f>COUNTIF([1]Regions!$D$3:$D$30,BillionEURNEWAGE!$B282)&gt;0</f>
        <v>#VALUE!</v>
      </c>
      <c r="B282" s="33" t="s">
        <v>2251</v>
      </c>
      <c r="C282" s="33" t="s">
        <v>431</v>
      </c>
      <c r="D282" s="33" t="s">
        <v>413</v>
      </c>
      <c r="E282" s="33">
        <v>3.1988907862336499E-4</v>
      </c>
    </row>
    <row r="283" spans="1:5">
      <c r="A283" s="33" t="e">
        <f>COUNTIF([1]Regions!$D$3:$D$30,BillionEURNEWAGE!$B283)&gt;0</f>
        <v>#VALUE!</v>
      </c>
      <c r="B283" s="33" t="s">
        <v>2251</v>
      </c>
      <c r="C283" s="33" t="s">
        <v>431</v>
      </c>
      <c r="D283" s="33" t="s">
        <v>414</v>
      </c>
      <c r="E283" s="33">
        <v>6.0522416522934303E-4</v>
      </c>
    </row>
    <row r="284" spans="1:5">
      <c r="A284" s="33" t="e">
        <f>COUNTIF([1]Regions!$D$3:$D$30,BillionEURNEWAGE!$B284)&gt;0</f>
        <v>#VALUE!</v>
      </c>
      <c r="B284" s="33" t="s">
        <v>2251</v>
      </c>
      <c r="C284" s="33" t="s">
        <v>431</v>
      </c>
      <c r="D284" s="33" t="s">
        <v>416</v>
      </c>
      <c r="E284" s="33">
        <v>35.862511218396399</v>
      </c>
    </row>
    <row r="285" spans="1:5">
      <c r="A285" s="33" t="e">
        <f>COUNTIF([1]Regions!$D$3:$D$30,BillionEURNEWAGE!$B285)&gt;0</f>
        <v>#VALUE!</v>
      </c>
      <c r="B285" s="33" t="s">
        <v>2251</v>
      </c>
      <c r="C285" s="33" t="s">
        <v>431</v>
      </c>
      <c r="D285" s="33" t="s">
        <v>418</v>
      </c>
      <c r="E285" s="33">
        <v>3.0737040966976101</v>
      </c>
    </row>
    <row r="286" spans="1:5">
      <c r="A286" s="33" t="e">
        <f>COUNTIF([1]Regions!$D$3:$D$30,BillionEURNEWAGE!$B286)&gt;0</f>
        <v>#VALUE!</v>
      </c>
      <c r="B286" s="33" t="s">
        <v>2251</v>
      </c>
      <c r="C286" s="33" t="s">
        <v>431</v>
      </c>
      <c r="D286" s="33" t="s">
        <v>420</v>
      </c>
      <c r="E286" s="33">
        <v>24.8798250020929</v>
      </c>
    </row>
    <row r="287" spans="1:5">
      <c r="A287" s="33" t="e">
        <f>COUNTIF([1]Regions!$D$3:$D$30,BillionEURNEWAGE!$B287)&gt;0</f>
        <v>#VALUE!</v>
      </c>
      <c r="B287" s="33" t="s">
        <v>2251</v>
      </c>
      <c r="C287" s="33" t="s">
        <v>431</v>
      </c>
      <c r="D287" s="33" t="s">
        <v>421</v>
      </c>
      <c r="E287" s="33">
        <v>188.930260541639</v>
      </c>
    </row>
    <row r="288" spans="1:5">
      <c r="A288" s="33" t="e">
        <f>COUNTIF([1]Regions!$D$3:$D$30,BillionEURNEWAGE!$B288)&gt;0</f>
        <v>#VALUE!</v>
      </c>
      <c r="B288" s="33" t="s">
        <v>2251</v>
      </c>
      <c r="C288" s="33" t="s">
        <v>431</v>
      </c>
      <c r="D288" s="33" t="s">
        <v>423</v>
      </c>
      <c r="E288" s="33">
        <v>67.145978714019606</v>
      </c>
    </row>
    <row r="289" spans="1:5">
      <c r="A289" s="33" t="e">
        <f>COUNTIF([1]Regions!$D$3:$D$30,BillionEURNEWAGE!$B289)&gt;0</f>
        <v>#VALUE!</v>
      </c>
      <c r="B289" s="33" t="s">
        <v>2251</v>
      </c>
      <c r="C289" s="33" t="s">
        <v>431</v>
      </c>
      <c r="D289" s="33" t="s">
        <v>425</v>
      </c>
      <c r="E289" s="33">
        <v>11.436094340801301</v>
      </c>
    </row>
    <row r="290" spans="1:5">
      <c r="A290" s="33" t="e">
        <f>COUNTIF([1]Regions!$D$3:$D$30,BillionEURNEWAGE!$B290)&gt;0</f>
        <v>#VALUE!</v>
      </c>
      <c r="B290" s="33" t="s">
        <v>2251</v>
      </c>
      <c r="C290" s="33" t="s">
        <v>431</v>
      </c>
      <c r="D290" s="33" t="s">
        <v>427</v>
      </c>
      <c r="E290" s="33">
        <v>70.547831334136305</v>
      </c>
    </row>
    <row r="291" spans="1:5">
      <c r="A291" s="33" t="e">
        <f>COUNTIF([1]Regions!$D$3:$D$30,BillionEURNEWAGE!$B291)&gt;0</f>
        <v>#VALUE!</v>
      </c>
      <c r="B291" s="33" t="s">
        <v>2251</v>
      </c>
      <c r="C291" s="33" t="s">
        <v>431</v>
      </c>
      <c r="D291" s="33" t="s">
        <v>429</v>
      </c>
      <c r="E291" s="33">
        <v>199.886041607116</v>
      </c>
    </row>
    <row r="292" spans="1:5">
      <c r="A292" s="33" t="e">
        <f>COUNTIF([1]Regions!$D$3:$D$30,BillionEURNEWAGE!$B292)&gt;0</f>
        <v>#VALUE!</v>
      </c>
      <c r="B292" s="33" t="s">
        <v>2251</v>
      </c>
      <c r="C292" s="33" t="s">
        <v>431</v>
      </c>
      <c r="D292" s="33" t="s">
        <v>430</v>
      </c>
      <c r="E292" s="33">
        <v>553.78984262919505</v>
      </c>
    </row>
    <row r="293" spans="1:5">
      <c r="A293" s="33" t="e">
        <f>COUNTIF([1]Regions!$D$3:$D$30,BillionEURNEWAGE!$B293)&gt;0</f>
        <v>#VALUE!</v>
      </c>
      <c r="B293" s="33" t="s">
        <v>2252</v>
      </c>
      <c r="C293" s="33" t="s">
        <v>431</v>
      </c>
      <c r="D293" s="33" t="s">
        <v>401</v>
      </c>
      <c r="E293" s="33">
        <v>42.915743829073698</v>
      </c>
    </row>
    <row r="294" spans="1:5">
      <c r="A294" s="33" t="e">
        <f>COUNTIF([1]Regions!$D$3:$D$30,BillionEURNEWAGE!$B294)&gt;0</f>
        <v>#VALUE!</v>
      </c>
      <c r="B294" s="33" t="s">
        <v>2252</v>
      </c>
      <c r="C294" s="33" t="s">
        <v>431</v>
      </c>
      <c r="D294" s="33" t="s">
        <v>402</v>
      </c>
      <c r="E294" s="33">
        <v>8.5867392612067999</v>
      </c>
    </row>
    <row r="295" spans="1:5">
      <c r="A295" s="33" t="e">
        <f>COUNTIF([1]Regions!$D$3:$D$30,BillionEURNEWAGE!$B295)&gt;0</f>
        <v>#VALUE!</v>
      </c>
      <c r="B295" s="33" t="s">
        <v>2252</v>
      </c>
      <c r="C295" s="33" t="s">
        <v>431</v>
      </c>
      <c r="D295" s="33" t="s">
        <v>404</v>
      </c>
      <c r="E295" s="33">
        <v>21.515487305972599</v>
      </c>
    </row>
    <row r="296" spans="1:5">
      <c r="A296" s="33" t="e">
        <f>COUNTIF([1]Regions!$D$3:$D$30,BillionEURNEWAGE!$B296)&gt;0</f>
        <v>#VALUE!</v>
      </c>
      <c r="B296" s="33" t="s">
        <v>2252</v>
      </c>
      <c r="C296" s="33" t="s">
        <v>431</v>
      </c>
      <c r="D296" s="33" t="s">
        <v>406</v>
      </c>
      <c r="E296" s="33">
        <v>6.6088702897773102</v>
      </c>
    </row>
    <row r="297" spans="1:5">
      <c r="A297" s="33" t="e">
        <f>COUNTIF([1]Regions!$D$3:$D$30,BillionEURNEWAGE!$B297)&gt;0</f>
        <v>#VALUE!</v>
      </c>
      <c r="B297" s="33" t="s">
        <v>2252</v>
      </c>
      <c r="C297" s="33" t="s">
        <v>431</v>
      </c>
      <c r="D297" s="33" t="s">
        <v>408</v>
      </c>
      <c r="E297" s="33">
        <v>1.1028344455802801</v>
      </c>
    </row>
    <row r="298" spans="1:5">
      <c r="A298" s="33" t="e">
        <f>COUNTIF([1]Regions!$D$3:$D$30,BillionEURNEWAGE!$B298)&gt;0</f>
        <v>#VALUE!</v>
      </c>
      <c r="B298" s="33" t="s">
        <v>2252</v>
      </c>
      <c r="C298" s="33" t="s">
        <v>431</v>
      </c>
      <c r="D298" s="33" t="s">
        <v>410</v>
      </c>
      <c r="E298" s="33">
        <v>29.599000089432401</v>
      </c>
    </row>
    <row r="299" spans="1:5">
      <c r="A299" s="33" t="e">
        <f>COUNTIF([1]Regions!$D$3:$D$30,BillionEURNEWAGE!$B299)&gt;0</f>
        <v>#VALUE!</v>
      </c>
      <c r="B299" s="33" t="s">
        <v>2252</v>
      </c>
      <c r="C299" s="33" t="s">
        <v>431</v>
      </c>
      <c r="D299" s="33" t="s">
        <v>411</v>
      </c>
      <c r="E299" s="33">
        <v>69.598615484786905</v>
      </c>
    </row>
    <row r="300" spans="1:5">
      <c r="A300" s="33" t="e">
        <f>COUNTIF([1]Regions!$D$3:$D$30,BillionEURNEWAGE!$B300)&gt;0</f>
        <v>#VALUE!</v>
      </c>
      <c r="B300" s="33" t="s">
        <v>2252</v>
      </c>
      <c r="C300" s="33" t="s">
        <v>431</v>
      </c>
      <c r="D300" s="33" t="s">
        <v>413</v>
      </c>
      <c r="E300" s="33">
        <v>0.93546385447297598</v>
      </c>
    </row>
    <row r="301" spans="1:5">
      <c r="A301" s="33" t="e">
        <f>COUNTIF([1]Regions!$D$3:$D$30,BillionEURNEWAGE!$B301)&gt;0</f>
        <v>#VALUE!</v>
      </c>
      <c r="B301" s="33" t="s">
        <v>2252</v>
      </c>
      <c r="C301" s="33" t="s">
        <v>431</v>
      </c>
      <c r="D301" s="33" t="s">
        <v>414</v>
      </c>
      <c r="E301" s="33">
        <v>5.0737243187454102E-2</v>
      </c>
    </row>
    <row r="302" spans="1:5">
      <c r="A302" s="33" t="e">
        <f>COUNTIF([1]Regions!$D$3:$D$30,BillionEURNEWAGE!$B302)&gt;0</f>
        <v>#VALUE!</v>
      </c>
      <c r="B302" s="33" t="s">
        <v>2252</v>
      </c>
      <c r="C302" s="33" t="s">
        <v>431</v>
      </c>
      <c r="D302" s="33" t="s">
        <v>416</v>
      </c>
      <c r="E302" s="33">
        <v>52.503364762820198</v>
      </c>
    </row>
    <row r="303" spans="1:5">
      <c r="A303" s="33" t="e">
        <f>COUNTIF([1]Regions!$D$3:$D$30,BillionEURNEWAGE!$B303)&gt;0</f>
        <v>#VALUE!</v>
      </c>
      <c r="B303" s="33" t="s">
        <v>2252</v>
      </c>
      <c r="C303" s="33" t="s">
        <v>431</v>
      </c>
      <c r="D303" s="33" t="s">
        <v>418</v>
      </c>
      <c r="E303" s="33">
        <v>0.57067134536015196</v>
      </c>
    </row>
    <row r="304" spans="1:5">
      <c r="A304" s="33" t="e">
        <f>COUNTIF([1]Regions!$D$3:$D$30,BillionEURNEWAGE!$B304)&gt;0</f>
        <v>#VALUE!</v>
      </c>
      <c r="B304" s="33" t="s">
        <v>2252</v>
      </c>
      <c r="C304" s="33" t="s">
        <v>431</v>
      </c>
      <c r="D304" s="33" t="s">
        <v>420</v>
      </c>
      <c r="E304" s="33">
        <v>41.305837672579301</v>
      </c>
    </row>
    <row r="305" spans="1:5">
      <c r="A305" s="33" t="e">
        <f>COUNTIF([1]Regions!$D$3:$D$30,BillionEURNEWAGE!$B305)&gt;0</f>
        <v>#VALUE!</v>
      </c>
      <c r="B305" s="33" t="s">
        <v>2252</v>
      </c>
      <c r="C305" s="33" t="s">
        <v>431</v>
      </c>
      <c r="D305" s="33" t="s">
        <v>421</v>
      </c>
      <c r="E305" s="33">
        <v>448.93070639170099</v>
      </c>
    </row>
    <row r="306" spans="1:5">
      <c r="A306" s="33" t="e">
        <f>COUNTIF([1]Regions!$D$3:$D$30,BillionEURNEWAGE!$B306)&gt;0</f>
        <v>#VALUE!</v>
      </c>
      <c r="B306" s="33" t="s">
        <v>2252</v>
      </c>
      <c r="C306" s="33" t="s">
        <v>431</v>
      </c>
      <c r="D306" s="33" t="s">
        <v>423</v>
      </c>
      <c r="E306" s="33">
        <v>163.583849145964</v>
      </c>
    </row>
    <row r="307" spans="1:5">
      <c r="A307" s="33" t="e">
        <f>COUNTIF([1]Regions!$D$3:$D$30,BillionEURNEWAGE!$B307)&gt;0</f>
        <v>#VALUE!</v>
      </c>
      <c r="B307" s="33" t="s">
        <v>2252</v>
      </c>
      <c r="C307" s="33" t="s">
        <v>431</v>
      </c>
      <c r="D307" s="33" t="s">
        <v>425</v>
      </c>
      <c r="E307" s="33">
        <v>13.563451072393701</v>
      </c>
    </row>
    <row r="308" spans="1:5">
      <c r="A308" s="33" t="e">
        <f>COUNTIF([1]Regions!$D$3:$D$30,BillionEURNEWAGE!$B308)&gt;0</f>
        <v>#VALUE!</v>
      </c>
      <c r="B308" s="33" t="s">
        <v>2252</v>
      </c>
      <c r="C308" s="33" t="s">
        <v>431</v>
      </c>
      <c r="D308" s="33" t="s">
        <v>427</v>
      </c>
      <c r="E308" s="33">
        <v>172.74198152573001</v>
      </c>
    </row>
    <row r="309" spans="1:5">
      <c r="A309" s="33" t="e">
        <f>COUNTIF([1]Regions!$D$3:$D$30,BillionEURNEWAGE!$B309)&gt;0</f>
        <v>#VALUE!</v>
      </c>
      <c r="B309" s="33" t="s">
        <v>2252</v>
      </c>
      <c r="C309" s="33" t="s">
        <v>431</v>
      </c>
      <c r="D309" s="33" t="s">
        <v>429</v>
      </c>
      <c r="E309" s="33">
        <v>239.21541522637401</v>
      </c>
    </row>
    <row r="310" spans="1:5">
      <c r="A310" s="33" t="e">
        <f>COUNTIF([1]Regions!$D$3:$D$30,BillionEURNEWAGE!$B310)&gt;0</f>
        <v>#VALUE!</v>
      </c>
      <c r="B310" s="33" t="s">
        <v>2252</v>
      </c>
      <c r="C310" s="33" t="s">
        <v>431</v>
      </c>
      <c r="D310" s="33" t="s">
        <v>430</v>
      </c>
      <c r="E310" s="33">
        <v>1250.1736050232801</v>
      </c>
    </row>
    <row r="311" spans="1:5" hidden="1">
      <c r="A311" s="33" t="e">
        <f>COUNTIF([1]Regions!$D$3:$D$30,BillionEURNEWAGE!$B311)&gt;0</f>
        <v>#VALUE!</v>
      </c>
      <c r="B311" s="33" t="s">
        <v>2235</v>
      </c>
      <c r="C311" s="33" t="s">
        <v>2253</v>
      </c>
      <c r="D311" s="33" t="s">
        <v>401</v>
      </c>
      <c r="E311" s="33">
        <v>7.6009936236568203E-4</v>
      </c>
    </row>
    <row r="312" spans="1:5" hidden="1">
      <c r="A312" s="33" t="e">
        <f>COUNTIF([1]Regions!$D$3:$D$30,BillionEURNEWAGE!$B312)&gt;0</f>
        <v>#VALUE!</v>
      </c>
      <c r="B312" s="33" t="s">
        <v>2235</v>
      </c>
      <c r="C312" s="33" t="s">
        <v>2253</v>
      </c>
      <c r="D312" s="33" t="s">
        <v>402</v>
      </c>
      <c r="E312" s="33">
        <v>2.9613823982243002E-4</v>
      </c>
    </row>
    <row r="313" spans="1:5" hidden="1">
      <c r="A313" s="33" t="e">
        <f>COUNTIF([1]Regions!$D$3:$D$30,BillionEURNEWAGE!$B313)&gt;0</f>
        <v>#VALUE!</v>
      </c>
      <c r="B313" s="33" t="s">
        <v>2235</v>
      </c>
      <c r="C313" s="33" t="s">
        <v>2253</v>
      </c>
      <c r="D313" s="33" t="s">
        <v>404</v>
      </c>
      <c r="E313" s="33">
        <v>1.73005605147594</v>
      </c>
    </row>
    <row r="314" spans="1:5" hidden="1">
      <c r="A314" s="33" t="e">
        <f>COUNTIF([1]Regions!$D$3:$D$30,BillionEURNEWAGE!$B314)&gt;0</f>
        <v>#VALUE!</v>
      </c>
      <c r="B314" s="33" t="s">
        <v>2235</v>
      </c>
      <c r="C314" s="33" t="s">
        <v>2253</v>
      </c>
      <c r="D314" s="33" t="s">
        <v>406</v>
      </c>
      <c r="E314" s="33">
        <v>1.2873860326738801E-3</v>
      </c>
    </row>
    <row r="315" spans="1:5" hidden="1">
      <c r="A315" s="33" t="e">
        <f>COUNTIF([1]Regions!$D$3:$D$30,BillionEURNEWAGE!$B315)&gt;0</f>
        <v>#VALUE!</v>
      </c>
      <c r="B315" s="33" t="s">
        <v>2235</v>
      </c>
      <c r="C315" s="33" t="s">
        <v>2253</v>
      </c>
      <c r="D315" s="33" t="s">
        <v>410</v>
      </c>
      <c r="E315" s="33">
        <v>0.89087909001702204</v>
      </c>
    </row>
    <row r="316" spans="1:5" hidden="1">
      <c r="A316" s="33" t="e">
        <f>COUNTIF([1]Regions!$D$3:$D$30,BillionEURNEWAGE!$B316)&gt;0</f>
        <v>#VALUE!</v>
      </c>
      <c r="B316" s="33" t="s">
        <v>2235</v>
      </c>
      <c r="C316" s="33" t="s">
        <v>2253</v>
      </c>
      <c r="D316" s="33" t="s">
        <v>411</v>
      </c>
      <c r="E316" s="33">
        <v>6.7400276600595099E-4</v>
      </c>
    </row>
    <row r="317" spans="1:5" hidden="1">
      <c r="A317" s="33" t="e">
        <f>COUNTIF([1]Regions!$D$3:$D$30,BillionEURNEWAGE!$B317)&gt;0</f>
        <v>#VALUE!</v>
      </c>
      <c r="B317" s="33" t="s">
        <v>2235</v>
      </c>
      <c r="C317" s="33" t="s">
        <v>2253</v>
      </c>
      <c r="D317" s="33" t="s">
        <v>413</v>
      </c>
      <c r="E317" s="34">
        <v>9.5914811365853495E-6</v>
      </c>
    </row>
    <row r="318" spans="1:5" hidden="1">
      <c r="A318" s="33" t="e">
        <f>COUNTIF([1]Regions!$D$3:$D$30,BillionEURNEWAGE!$B318)&gt;0</f>
        <v>#VALUE!</v>
      </c>
      <c r="B318" s="33" t="s">
        <v>2235</v>
      </c>
      <c r="C318" s="33" t="s">
        <v>2253</v>
      </c>
      <c r="D318" s="33" t="s">
        <v>416</v>
      </c>
      <c r="E318" s="33">
        <v>2.3425511189934398</v>
      </c>
    </row>
    <row r="319" spans="1:5" hidden="1">
      <c r="A319" s="33" t="e">
        <f>COUNTIF([1]Regions!$D$3:$D$30,BillionEURNEWAGE!$B319)&gt;0</f>
        <v>#VALUE!</v>
      </c>
      <c r="B319" s="33" t="s">
        <v>2235</v>
      </c>
      <c r="C319" s="33" t="s">
        <v>2253</v>
      </c>
      <c r="D319" s="33" t="s">
        <v>420</v>
      </c>
      <c r="E319" s="33">
        <v>2.2223357958414098</v>
      </c>
    </row>
    <row r="320" spans="1:5" hidden="1">
      <c r="A320" s="33" t="e">
        <f>COUNTIF([1]Regions!$D$3:$D$30,BillionEURNEWAGE!$B320)&gt;0</f>
        <v>#VALUE!</v>
      </c>
      <c r="B320" s="33" t="s">
        <v>2235</v>
      </c>
      <c r="C320" s="33" t="s">
        <v>2253</v>
      </c>
      <c r="D320" s="33" t="s">
        <v>421</v>
      </c>
      <c r="E320" s="33">
        <v>1.7115289829234901</v>
      </c>
    </row>
    <row r="321" spans="1:5" hidden="1">
      <c r="A321" s="33" t="e">
        <f>COUNTIF([1]Regions!$D$3:$D$30,BillionEURNEWAGE!$B321)&gt;0</f>
        <v>#VALUE!</v>
      </c>
      <c r="B321" s="33" t="s">
        <v>2235</v>
      </c>
      <c r="C321" s="33" t="s">
        <v>2253</v>
      </c>
      <c r="D321" s="33" t="s">
        <v>423</v>
      </c>
      <c r="E321" s="33">
        <v>1.94122680934314</v>
      </c>
    </row>
    <row r="322" spans="1:5" hidden="1">
      <c r="A322" s="33" t="e">
        <f>COUNTIF([1]Regions!$D$3:$D$30,BillionEURNEWAGE!$B322)&gt;0</f>
        <v>#VALUE!</v>
      </c>
      <c r="B322" s="33" t="s">
        <v>2235</v>
      </c>
      <c r="C322" s="33" t="s">
        <v>2253</v>
      </c>
      <c r="D322" s="33" t="s">
        <v>425</v>
      </c>
      <c r="E322" s="33">
        <v>8.24371322683408</v>
      </c>
    </row>
    <row r="323" spans="1:5" hidden="1">
      <c r="A323" s="33" t="e">
        <f>COUNTIF([1]Regions!$D$3:$D$30,BillionEURNEWAGE!$B323)&gt;0</f>
        <v>#VALUE!</v>
      </c>
      <c r="B323" s="33" t="s">
        <v>2235</v>
      </c>
      <c r="C323" s="33" t="s">
        <v>2253</v>
      </c>
      <c r="D323" s="33" t="s">
        <v>427</v>
      </c>
      <c r="E323" s="33">
        <v>4.2435162470122396</v>
      </c>
    </row>
    <row r="324" spans="1:5" hidden="1">
      <c r="A324" s="33" t="e">
        <f>COUNTIF([1]Regions!$D$3:$D$30,BillionEURNEWAGE!$B324)&gt;0</f>
        <v>#VALUE!</v>
      </c>
      <c r="B324" s="33" t="s">
        <v>2235</v>
      </c>
      <c r="C324" s="33" t="s">
        <v>2253</v>
      </c>
      <c r="D324" s="33" t="s">
        <v>429</v>
      </c>
      <c r="E324" s="33">
        <v>1.28980263184557</v>
      </c>
    </row>
    <row r="325" spans="1:5" hidden="1">
      <c r="A325" s="33" t="e">
        <f>COUNTIF([1]Regions!$D$3:$D$30,BillionEURNEWAGE!$B325)&gt;0</f>
        <v>#VALUE!</v>
      </c>
      <c r="B325" s="33" t="s">
        <v>2235</v>
      </c>
      <c r="C325" s="33" t="s">
        <v>2253</v>
      </c>
      <c r="D325" s="33" t="s">
        <v>430</v>
      </c>
      <c r="E325" s="33">
        <v>132.813936474678</v>
      </c>
    </row>
    <row r="326" spans="1:5" hidden="1">
      <c r="A326" s="33" t="e">
        <f>COUNTIF([1]Regions!$D$3:$D$30,BillionEURNEWAGE!$B326)&gt;0</f>
        <v>#VALUE!</v>
      </c>
      <c r="B326" s="33" t="s">
        <v>2236</v>
      </c>
      <c r="C326" s="33" t="s">
        <v>2253</v>
      </c>
      <c r="D326" s="33" t="s">
        <v>401</v>
      </c>
      <c r="E326" s="34">
        <v>2.7020284078925401E-5</v>
      </c>
    </row>
    <row r="327" spans="1:5" hidden="1">
      <c r="A327" s="33" t="e">
        <f>COUNTIF([1]Regions!$D$3:$D$30,BillionEURNEWAGE!$B327)&gt;0</f>
        <v>#VALUE!</v>
      </c>
      <c r="B327" s="33" t="s">
        <v>2236</v>
      </c>
      <c r="C327" s="33" t="s">
        <v>2253</v>
      </c>
      <c r="D327" s="33" t="s">
        <v>404</v>
      </c>
      <c r="E327" s="33">
        <v>1.0854315922131E-2</v>
      </c>
    </row>
    <row r="328" spans="1:5" hidden="1">
      <c r="A328" s="33" t="e">
        <f>COUNTIF([1]Regions!$D$3:$D$30,BillionEURNEWAGE!$B328)&gt;0</f>
        <v>#VALUE!</v>
      </c>
      <c r="B328" s="33" t="s">
        <v>2236</v>
      </c>
      <c r="C328" s="33" t="s">
        <v>2253</v>
      </c>
      <c r="D328" s="33" t="s">
        <v>406</v>
      </c>
      <c r="E328" s="33">
        <v>1.87960857319984E-4</v>
      </c>
    </row>
    <row r="329" spans="1:5" hidden="1">
      <c r="A329" s="33" t="e">
        <f>COUNTIF([1]Regions!$D$3:$D$30,BillionEURNEWAGE!$B329)&gt;0</f>
        <v>#VALUE!</v>
      </c>
      <c r="B329" s="33" t="s">
        <v>2236</v>
      </c>
      <c r="C329" s="33" t="s">
        <v>2253</v>
      </c>
      <c r="D329" s="33" t="s">
        <v>408</v>
      </c>
      <c r="E329" s="34">
        <v>2.2356172125666202E-6</v>
      </c>
    </row>
    <row r="330" spans="1:5" hidden="1">
      <c r="A330" s="33" t="e">
        <f>COUNTIF([1]Regions!$D$3:$D$30,BillionEURNEWAGE!$B330)&gt;0</f>
        <v>#VALUE!</v>
      </c>
      <c r="B330" s="33" t="s">
        <v>2236</v>
      </c>
      <c r="C330" s="33" t="s">
        <v>2253</v>
      </c>
      <c r="D330" s="33" t="s">
        <v>410</v>
      </c>
      <c r="E330" s="33">
        <v>2.3171533163766299E-3</v>
      </c>
    </row>
    <row r="331" spans="1:5" hidden="1">
      <c r="A331" s="33" t="e">
        <f>COUNTIF([1]Regions!$D$3:$D$30,BillionEURNEWAGE!$B331)&gt;0</f>
        <v>#VALUE!</v>
      </c>
      <c r="B331" s="33" t="s">
        <v>2236</v>
      </c>
      <c r="C331" s="33" t="s">
        <v>2253</v>
      </c>
      <c r="D331" s="33" t="s">
        <v>413</v>
      </c>
      <c r="E331" s="34">
        <v>7.5806176422408297E-5</v>
      </c>
    </row>
    <row r="332" spans="1:5" hidden="1">
      <c r="A332" s="33" t="e">
        <f>COUNTIF([1]Regions!$D$3:$D$30,BillionEURNEWAGE!$B332)&gt;0</f>
        <v>#VALUE!</v>
      </c>
      <c r="B332" s="33" t="s">
        <v>2236</v>
      </c>
      <c r="C332" s="33" t="s">
        <v>2253</v>
      </c>
      <c r="D332" s="33" t="s">
        <v>416</v>
      </c>
      <c r="E332" s="33">
        <v>0.34429826620960002</v>
      </c>
    </row>
    <row r="333" spans="1:5" hidden="1">
      <c r="A333" s="33" t="e">
        <f>COUNTIF([1]Regions!$D$3:$D$30,BillionEURNEWAGE!$B333)&gt;0</f>
        <v>#VALUE!</v>
      </c>
      <c r="B333" s="33" t="s">
        <v>2236</v>
      </c>
      <c r="C333" s="33" t="s">
        <v>2253</v>
      </c>
      <c r="D333" s="33" t="s">
        <v>418</v>
      </c>
      <c r="E333" s="34">
        <v>1.6383097635726E-6</v>
      </c>
    </row>
    <row r="334" spans="1:5" hidden="1">
      <c r="A334" s="33" t="e">
        <f>COUNTIF([1]Regions!$D$3:$D$30,BillionEURNEWAGE!$B334)&gt;0</f>
        <v>#VALUE!</v>
      </c>
      <c r="B334" s="33" t="s">
        <v>2236</v>
      </c>
      <c r="C334" s="33" t="s">
        <v>2253</v>
      </c>
      <c r="D334" s="33" t="s">
        <v>420</v>
      </c>
      <c r="E334" s="33">
        <v>2.7615805844599699E-2</v>
      </c>
    </row>
    <row r="335" spans="1:5" hidden="1">
      <c r="A335" s="33" t="e">
        <f>COUNTIF([1]Regions!$D$3:$D$30,BillionEURNEWAGE!$B335)&gt;0</f>
        <v>#VALUE!</v>
      </c>
      <c r="B335" s="33" t="s">
        <v>2236</v>
      </c>
      <c r="C335" s="33" t="s">
        <v>2253</v>
      </c>
      <c r="D335" s="33" t="s">
        <v>421</v>
      </c>
      <c r="E335" s="33">
        <v>0.66787561655363603</v>
      </c>
    </row>
    <row r="336" spans="1:5" hidden="1">
      <c r="A336" s="33" t="e">
        <f>COUNTIF([1]Regions!$D$3:$D$30,BillionEURNEWAGE!$B336)&gt;0</f>
        <v>#VALUE!</v>
      </c>
      <c r="B336" s="33" t="s">
        <v>2236</v>
      </c>
      <c r="C336" s="33" t="s">
        <v>2253</v>
      </c>
      <c r="D336" s="33" t="s">
        <v>423</v>
      </c>
      <c r="E336" s="33">
        <v>0.57542521413453096</v>
      </c>
    </row>
    <row r="337" spans="1:5" hidden="1">
      <c r="A337" s="33" t="e">
        <f>COUNTIF([1]Regions!$D$3:$D$30,BillionEURNEWAGE!$B337)&gt;0</f>
        <v>#VALUE!</v>
      </c>
      <c r="B337" s="33" t="s">
        <v>2236</v>
      </c>
      <c r="C337" s="33" t="s">
        <v>2253</v>
      </c>
      <c r="D337" s="33" t="s">
        <v>425</v>
      </c>
      <c r="E337" s="33">
        <v>2.33613368569335E-3</v>
      </c>
    </row>
    <row r="338" spans="1:5" hidden="1">
      <c r="A338" s="33" t="e">
        <f>COUNTIF([1]Regions!$D$3:$D$30,BillionEURNEWAGE!$B338)&gt;0</f>
        <v>#VALUE!</v>
      </c>
      <c r="B338" s="33" t="s">
        <v>2236</v>
      </c>
      <c r="C338" s="33" t="s">
        <v>2253</v>
      </c>
      <c r="D338" s="33" t="s">
        <v>427</v>
      </c>
      <c r="E338" s="33">
        <v>0.24240945951030701</v>
      </c>
    </row>
    <row r="339" spans="1:5" hidden="1">
      <c r="A339" s="33" t="e">
        <f>COUNTIF([1]Regions!$D$3:$D$30,BillionEURNEWAGE!$B339)&gt;0</f>
        <v>#VALUE!</v>
      </c>
      <c r="B339" s="33" t="s">
        <v>2236</v>
      </c>
      <c r="C339" s="33" t="s">
        <v>2253</v>
      </c>
      <c r="D339" s="33" t="s">
        <v>429</v>
      </c>
      <c r="E339" s="33">
        <v>9.9346309392838103E-2</v>
      </c>
    </row>
    <row r="340" spans="1:5" hidden="1">
      <c r="A340" s="33" t="e">
        <f>COUNTIF([1]Regions!$D$3:$D$30,BillionEURNEWAGE!$B340)&gt;0</f>
        <v>#VALUE!</v>
      </c>
      <c r="B340" s="33" t="s">
        <v>2236</v>
      </c>
      <c r="C340" s="33" t="s">
        <v>2253</v>
      </c>
      <c r="D340" s="33" t="s">
        <v>430</v>
      </c>
      <c r="E340" s="33">
        <v>1841.2293488585799</v>
      </c>
    </row>
    <row r="341" spans="1:5" hidden="1">
      <c r="A341" s="33" t="e">
        <f>COUNTIF([1]Regions!$D$3:$D$30,BillionEURNEWAGE!$B341)&gt;0</f>
        <v>#VALUE!</v>
      </c>
      <c r="B341" s="33" t="s">
        <v>2237</v>
      </c>
      <c r="C341" s="33" t="s">
        <v>2253</v>
      </c>
      <c r="D341" s="33" t="s">
        <v>401</v>
      </c>
      <c r="E341" s="34">
        <v>3.3827806532349001E-6</v>
      </c>
    </row>
    <row r="342" spans="1:5" hidden="1">
      <c r="A342" s="33" t="e">
        <f>COUNTIF([1]Regions!$D$3:$D$30,BillionEURNEWAGE!$B342)&gt;0</f>
        <v>#VALUE!</v>
      </c>
      <c r="B342" s="33" t="s">
        <v>2237</v>
      </c>
      <c r="C342" s="33" t="s">
        <v>2253</v>
      </c>
      <c r="D342" s="33" t="s">
        <v>404</v>
      </c>
      <c r="E342" s="33">
        <v>2.8744909200419601E-3</v>
      </c>
    </row>
    <row r="343" spans="1:5" hidden="1">
      <c r="A343" s="33" t="e">
        <f>COUNTIF([1]Regions!$D$3:$D$30,BillionEURNEWAGE!$B343)&gt;0</f>
        <v>#VALUE!</v>
      </c>
      <c r="B343" s="33" t="s">
        <v>2237</v>
      </c>
      <c r="C343" s="33" t="s">
        <v>2253</v>
      </c>
      <c r="D343" s="33" t="s">
        <v>406</v>
      </c>
      <c r="E343" s="34">
        <v>5.0711060418698598E-5</v>
      </c>
    </row>
    <row r="344" spans="1:5" hidden="1">
      <c r="A344" s="33" t="e">
        <f>COUNTIF([1]Regions!$D$3:$D$30,BillionEURNEWAGE!$B344)&gt;0</f>
        <v>#VALUE!</v>
      </c>
      <c r="B344" s="33" t="s">
        <v>2237</v>
      </c>
      <c r="C344" s="33" t="s">
        <v>2253</v>
      </c>
      <c r="D344" s="33" t="s">
        <v>408</v>
      </c>
      <c r="E344" s="34">
        <v>5.9671931927132702E-7</v>
      </c>
    </row>
    <row r="345" spans="1:5" hidden="1">
      <c r="A345" s="33" t="e">
        <f>COUNTIF([1]Regions!$D$3:$D$30,BillionEURNEWAGE!$B345)&gt;0</f>
        <v>#VALUE!</v>
      </c>
      <c r="B345" s="33" t="s">
        <v>2237</v>
      </c>
      <c r="C345" s="33" t="s">
        <v>2253</v>
      </c>
      <c r="D345" s="33" t="s">
        <v>410</v>
      </c>
      <c r="E345" s="33">
        <v>6.0595074920984397E-4</v>
      </c>
    </row>
    <row r="346" spans="1:5" hidden="1">
      <c r="A346" s="33" t="e">
        <f>COUNTIF([1]Regions!$D$3:$D$30,BillionEURNEWAGE!$B346)&gt;0</f>
        <v>#VALUE!</v>
      </c>
      <c r="B346" s="33" t="s">
        <v>2237</v>
      </c>
      <c r="C346" s="33" t="s">
        <v>2253</v>
      </c>
      <c r="D346" s="33" t="s">
        <v>416</v>
      </c>
      <c r="E346" s="33">
        <v>9.2071912567458503E-2</v>
      </c>
    </row>
    <row r="347" spans="1:5" hidden="1">
      <c r="A347" s="33" t="e">
        <f>COUNTIF([1]Regions!$D$3:$D$30,BillionEURNEWAGE!$B347)&gt;0</f>
        <v>#VALUE!</v>
      </c>
      <c r="B347" s="33" t="s">
        <v>2237</v>
      </c>
      <c r="C347" s="33" t="s">
        <v>2253</v>
      </c>
      <c r="D347" s="33" t="s">
        <v>420</v>
      </c>
      <c r="E347" s="33">
        <v>7.2880496854794401E-3</v>
      </c>
    </row>
    <row r="348" spans="1:5" hidden="1">
      <c r="A348" s="33" t="e">
        <f>COUNTIF([1]Regions!$D$3:$D$30,BillionEURNEWAGE!$B348)&gt;0</f>
        <v>#VALUE!</v>
      </c>
      <c r="B348" s="33" t="s">
        <v>2237</v>
      </c>
      <c r="C348" s="33" t="s">
        <v>2253</v>
      </c>
      <c r="D348" s="33" t="s">
        <v>421</v>
      </c>
      <c r="E348" s="33">
        <v>0.176500260275676</v>
      </c>
    </row>
    <row r="349" spans="1:5" hidden="1">
      <c r="A349" s="33" t="e">
        <f>COUNTIF([1]Regions!$D$3:$D$30,BillionEURNEWAGE!$B349)&gt;0</f>
        <v>#VALUE!</v>
      </c>
      <c r="B349" s="33" t="s">
        <v>2237</v>
      </c>
      <c r="C349" s="33" t="s">
        <v>2253</v>
      </c>
      <c r="D349" s="33" t="s">
        <v>423</v>
      </c>
      <c r="E349" s="33">
        <v>0.151732243984458</v>
      </c>
    </row>
    <row r="350" spans="1:5" hidden="1">
      <c r="A350" s="33" t="e">
        <f>COUNTIF([1]Regions!$D$3:$D$30,BillionEURNEWAGE!$B350)&gt;0</f>
        <v>#VALUE!</v>
      </c>
      <c r="B350" s="33" t="s">
        <v>2237</v>
      </c>
      <c r="C350" s="33" t="s">
        <v>2253</v>
      </c>
      <c r="D350" s="33" t="s">
        <v>425</v>
      </c>
      <c r="E350" s="33">
        <v>6.1865278666169599E-4</v>
      </c>
    </row>
    <row r="351" spans="1:5" hidden="1">
      <c r="A351" s="33" t="e">
        <f>COUNTIF([1]Regions!$D$3:$D$30,BillionEURNEWAGE!$B351)&gt;0</f>
        <v>#VALUE!</v>
      </c>
      <c r="B351" s="33" t="s">
        <v>2237</v>
      </c>
      <c r="C351" s="33" t="s">
        <v>2253</v>
      </c>
      <c r="D351" s="33" t="s">
        <v>427</v>
      </c>
      <c r="E351" s="33">
        <v>2.8372331201184902</v>
      </c>
    </row>
    <row r="352" spans="1:5" hidden="1">
      <c r="A352" s="33" t="e">
        <f>COUNTIF([1]Regions!$D$3:$D$30,BillionEURNEWAGE!$B352)&gt;0</f>
        <v>#VALUE!</v>
      </c>
      <c r="B352" s="33" t="s">
        <v>2237</v>
      </c>
      <c r="C352" s="33" t="s">
        <v>2253</v>
      </c>
      <c r="D352" s="33" t="s">
        <v>429</v>
      </c>
      <c r="E352" s="33">
        <v>1.38310385786258E-2</v>
      </c>
    </row>
    <row r="353" spans="1:5" hidden="1">
      <c r="A353" s="33" t="e">
        <f>COUNTIF([1]Regions!$D$3:$D$30,BillionEURNEWAGE!$B353)&gt;0</f>
        <v>#VALUE!</v>
      </c>
      <c r="B353" s="33" t="s">
        <v>2237</v>
      </c>
      <c r="C353" s="33" t="s">
        <v>2253</v>
      </c>
      <c r="D353" s="33" t="s">
        <v>430</v>
      </c>
      <c r="E353" s="33">
        <v>482.024089821399</v>
      </c>
    </row>
    <row r="354" spans="1:5" hidden="1">
      <c r="A354" s="33" t="e">
        <f>COUNTIF([1]Regions!$D$3:$D$30,BillionEURNEWAGE!$B354)&gt;0</f>
        <v>#VALUE!</v>
      </c>
      <c r="B354" s="33" t="s">
        <v>2238</v>
      </c>
      <c r="C354" s="33" t="s">
        <v>2253</v>
      </c>
      <c r="D354" s="33" t="s">
        <v>401</v>
      </c>
      <c r="E354" s="34">
        <v>8.6143313519545898E-6</v>
      </c>
    </row>
    <row r="355" spans="1:5" hidden="1">
      <c r="A355" s="33" t="e">
        <f>COUNTIF([1]Regions!$D$3:$D$30,BillionEURNEWAGE!$B355)&gt;0</f>
        <v>#VALUE!</v>
      </c>
      <c r="B355" s="33" t="s">
        <v>2238</v>
      </c>
      <c r="C355" s="33" t="s">
        <v>2253</v>
      </c>
      <c r="D355" s="33" t="s">
        <v>404</v>
      </c>
      <c r="E355" s="33">
        <v>2.9290435723137698E-3</v>
      </c>
    </row>
    <row r="356" spans="1:5" hidden="1">
      <c r="A356" s="33" t="e">
        <f>COUNTIF([1]Regions!$D$3:$D$30,BillionEURNEWAGE!$B356)&gt;0</f>
        <v>#VALUE!</v>
      </c>
      <c r="B356" s="33" t="s">
        <v>2238</v>
      </c>
      <c r="C356" s="33" t="s">
        <v>2253</v>
      </c>
      <c r="D356" s="33" t="s">
        <v>406</v>
      </c>
      <c r="E356" s="34">
        <v>5.1441497844858299E-5</v>
      </c>
    </row>
    <row r="357" spans="1:5" hidden="1">
      <c r="A357" s="33" t="e">
        <f>COUNTIF([1]Regions!$D$3:$D$30,BillionEURNEWAGE!$B357)&gt;0</f>
        <v>#VALUE!</v>
      </c>
      <c r="B357" s="33" t="s">
        <v>2238</v>
      </c>
      <c r="C357" s="33" t="s">
        <v>2253</v>
      </c>
      <c r="D357" s="33" t="s">
        <v>408</v>
      </c>
      <c r="E357" s="34">
        <v>6.1161160073368399E-7</v>
      </c>
    </row>
    <row r="358" spans="1:5" hidden="1">
      <c r="A358" s="33" t="e">
        <f>COUNTIF([1]Regions!$D$3:$D$30,BillionEURNEWAGE!$B358)&gt;0</f>
        <v>#VALUE!</v>
      </c>
      <c r="B358" s="33" t="s">
        <v>2238</v>
      </c>
      <c r="C358" s="33" t="s">
        <v>2253</v>
      </c>
      <c r="D358" s="33" t="s">
        <v>410</v>
      </c>
      <c r="E358" s="33">
        <v>6.2238727431904097E-4</v>
      </c>
    </row>
    <row r="359" spans="1:5" hidden="1">
      <c r="A359" s="33" t="e">
        <f>COUNTIF([1]Regions!$D$3:$D$30,BillionEURNEWAGE!$B359)&gt;0</f>
        <v>#VALUE!</v>
      </c>
      <c r="B359" s="33" t="s">
        <v>2238</v>
      </c>
      <c r="C359" s="33" t="s">
        <v>2253</v>
      </c>
      <c r="D359" s="33" t="s">
        <v>411</v>
      </c>
      <c r="E359" s="34">
        <v>6.9313692945431597E-7</v>
      </c>
    </row>
    <row r="360" spans="1:5" hidden="1">
      <c r="A360" s="33" t="e">
        <f>COUNTIF([1]Regions!$D$3:$D$30,BillionEURNEWAGE!$B360)&gt;0</f>
        <v>#VALUE!</v>
      </c>
      <c r="B360" s="33" t="s">
        <v>2238</v>
      </c>
      <c r="C360" s="33" t="s">
        <v>2253</v>
      </c>
      <c r="D360" s="33" t="s">
        <v>413</v>
      </c>
      <c r="E360" s="34">
        <v>1.9356730853620301E-5</v>
      </c>
    </row>
    <row r="361" spans="1:5" hidden="1">
      <c r="A361" s="33" t="e">
        <f>COUNTIF([1]Regions!$D$3:$D$30,BillionEURNEWAGE!$B361)&gt;0</f>
        <v>#VALUE!</v>
      </c>
      <c r="B361" s="33" t="s">
        <v>2238</v>
      </c>
      <c r="C361" s="33" t="s">
        <v>2253</v>
      </c>
      <c r="D361" s="33" t="s">
        <v>416</v>
      </c>
      <c r="E361" s="33">
        <v>9.7059794106652308</v>
      </c>
    </row>
    <row r="362" spans="1:5" hidden="1">
      <c r="A362" s="33" t="e">
        <f>COUNTIF([1]Regions!$D$3:$D$30,BillionEURNEWAGE!$B362)&gt;0</f>
        <v>#VALUE!</v>
      </c>
      <c r="B362" s="33" t="s">
        <v>2238</v>
      </c>
      <c r="C362" s="33" t="s">
        <v>2253</v>
      </c>
      <c r="D362" s="33" t="s">
        <v>420</v>
      </c>
      <c r="E362" s="33">
        <v>1.2392058233229299</v>
      </c>
    </row>
    <row r="363" spans="1:5" hidden="1">
      <c r="A363" s="33" t="e">
        <f>COUNTIF([1]Regions!$D$3:$D$30,BillionEURNEWAGE!$B363)&gt;0</f>
        <v>#VALUE!</v>
      </c>
      <c r="B363" s="33" t="s">
        <v>2238</v>
      </c>
      <c r="C363" s="33" t="s">
        <v>2253</v>
      </c>
      <c r="D363" s="33" t="s">
        <v>421</v>
      </c>
      <c r="E363" s="33">
        <v>0.18003643704883701</v>
      </c>
    </row>
    <row r="364" spans="1:5" hidden="1">
      <c r="A364" s="33" t="e">
        <f>COUNTIF([1]Regions!$D$3:$D$30,BillionEURNEWAGE!$B364)&gt;0</f>
        <v>#VALUE!</v>
      </c>
      <c r="B364" s="33" t="s">
        <v>2238</v>
      </c>
      <c r="C364" s="33" t="s">
        <v>2253</v>
      </c>
      <c r="D364" s="33" t="s">
        <v>423</v>
      </c>
      <c r="E364" s="33">
        <v>0.15486174738582201</v>
      </c>
    </row>
    <row r="365" spans="1:5" hidden="1">
      <c r="A365" s="33" t="e">
        <f>COUNTIF([1]Regions!$D$3:$D$30,BillionEURNEWAGE!$B365)&gt;0</f>
        <v>#VALUE!</v>
      </c>
      <c r="B365" s="33" t="s">
        <v>2238</v>
      </c>
      <c r="C365" s="33" t="s">
        <v>2253</v>
      </c>
      <c r="D365" s="33" t="s">
        <v>425</v>
      </c>
      <c r="E365" s="33">
        <v>6.2575449556264903E-4</v>
      </c>
    </row>
    <row r="366" spans="1:5" hidden="1">
      <c r="A366" s="33" t="e">
        <f>COUNTIF([1]Regions!$D$3:$D$30,BillionEURNEWAGE!$B366)&gt;0</f>
        <v>#VALUE!</v>
      </c>
      <c r="B366" s="33" t="s">
        <v>2238</v>
      </c>
      <c r="C366" s="33" t="s">
        <v>2253</v>
      </c>
      <c r="D366" s="33" t="s">
        <v>427</v>
      </c>
      <c r="E366" s="33">
        <v>3.2604959185702498</v>
      </c>
    </row>
    <row r="367" spans="1:5" hidden="1">
      <c r="A367" s="33" t="e">
        <f>COUNTIF([1]Regions!$D$3:$D$30,BillionEURNEWAGE!$B367)&gt;0</f>
        <v>#VALUE!</v>
      </c>
      <c r="B367" s="33" t="s">
        <v>2238</v>
      </c>
      <c r="C367" s="33" t="s">
        <v>2253</v>
      </c>
      <c r="D367" s="33" t="s">
        <v>429</v>
      </c>
      <c r="E367" s="33">
        <v>1.22950520494881E-2</v>
      </c>
    </row>
    <row r="368" spans="1:5" hidden="1">
      <c r="A368" s="33" t="e">
        <f>COUNTIF([1]Regions!$D$3:$D$30,BillionEURNEWAGE!$B368)&gt;0</f>
        <v>#VALUE!</v>
      </c>
      <c r="B368" s="33" t="s">
        <v>2238</v>
      </c>
      <c r="C368" s="33" t="s">
        <v>2253</v>
      </c>
      <c r="D368" s="33" t="s">
        <v>430</v>
      </c>
      <c r="E368" s="33">
        <v>465.09527407442698</v>
      </c>
    </row>
    <row r="369" spans="1:5" hidden="1">
      <c r="A369" s="33" t="e">
        <f>COUNTIF([1]Regions!$D$3:$D$30,BillionEURNEWAGE!$B369)&gt;0</f>
        <v>#VALUE!</v>
      </c>
      <c r="B369" s="33" t="s">
        <v>2239</v>
      </c>
      <c r="C369" s="33" t="s">
        <v>2253</v>
      </c>
      <c r="D369" s="33" t="s">
        <v>401</v>
      </c>
      <c r="E369" s="34">
        <v>2.26164169492332E-6</v>
      </c>
    </row>
    <row r="370" spans="1:5" hidden="1">
      <c r="A370" s="33" t="e">
        <f>COUNTIF([1]Regions!$D$3:$D$30,BillionEURNEWAGE!$B370)&gt;0</f>
        <v>#VALUE!</v>
      </c>
      <c r="B370" s="33" t="s">
        <v>2239</v>
      </c>
      <c r="C370" s="33" t="s">
        <v>2253</v>
      </c>
      <c r="D370" s="33" t="s">
        <v>404</v>
      </c>
      <c r="E370" s="33">
        <v>1.9217618984276399E-3</v>
      </c>
    </row>
    <row r="371" spans="1:5" hidden="1">
      <c r="A371" s="33" t="e">
        <f>COUNTIF([1]Regions!$D$3:$D$30,BillionEURNEWAGE!$B371)&gt;0</f>
        <v>#VALUE!</v>
      </c>
      <c r="B371" s="33" t="s">
        <v>2239</v>
      </c>
      <c r="C371" s="33" t="s">
        <v>2253</v>
      </c>
      <c r="D371" s="33" t="s">
        <v>406</v>
      </c>
      <c r="E371" s="34">
        <v>3.3284002118107097E-5</v>
      </c>
    </row>
    <row r="372" spans="1:5" hidden="1">
      <c r="A372" s="33" t="e">
        <f>COUNTIF([1]Regions!$D$3:$D$30,BillionEURNEWAGE!$B372)&gt;0</f>
        <v>#VALUE!</v>
      </c>
      <c r="B372" s="33" t="s">
        <v>2239</v>
      </c>
      <c r="C372" s="33" t="s">
        <v>2253</v>
      </c>
      <c r="D372" s="33" t="s">
        <v>410</v>
      </c>
      <c r="E372" s="33">
        <v>4.0657123356674699E-4</v>
      </c>
    </row>
    <row r="373" spans="1:5" hidden="1">
      <c r="A373" s="33" t="e">
        <f>COUNTIF([1]Regions!$D$3:$D$30,BillionEURNEWAGE!$B373)&gt;0</f>
        <v>#VALUE!</v>
      </c>
      <c r="B373" s="33" t="s">
        <v>2239</v>
      </c>
      <c r="C373" s="33" t="s">
        <v>2253</v>
      </c>
      <c r="D373" s="33" t="s">
        <v>416</v>
      </c>
      <c r="E373" s="33">
        <v>6.0172103113684899E-2</v>
      </c>
    </row>
    <row r="374" spans="1:5" hidden="1">
      <c r="A374" s="33" t="e">
        <f>COUNTIF([1]Regions!$D$3:$D$30,BillionEURNEWAGE!$B374)&gt;0</f>
        <v>#VALUE!</v>
      </c>
      <c r="B374" s="33" t="s">
        <v>2239</v>
      </c>
      <c r="C374" s="33" t="s">
        <v>2253</v>
      </c>
      <c r="D374" s="33" t="s">
        <v>420</v>
      </c>
      <c r="E374" s="33">
        <v>4.8651431939616902E-3</v>
      </c>
    </row>
    <row r="375" spans="1:5" hidden="1">
      <c r="A375" s="33" t="e">
        <f>COUNTIF([1]Regions!$D$3:$D$30,BillionEURNEWAGE!$B375)&gt;0</f>
        <v>#VALUE!</v>
      </c>
      <c r="B375" s="33" t="s">
        <v>2239</v>
      </c>
      <c r="C375" s="33" t="s">
        <v>2253</v>
      </c>
      <c r="D375" s="33" t="s">
        <v>421</v>
      </c>
      <c r="E375" s="33">
        <v>0.11812344297123201</v>
      </c>
    </row>
    <row r="376" spans="1:5" hidden="1">
      <c r="A376" s="33" t="e">
        <f>COUNTIF([1]Regions!$D$3:$D$30,BillionEURNEWAGE!$B376)&gt;0</f>
        <v>#VALUE!</v>
      </c>
      <c r="B376" s="33" t="s">
        <v>2239</v>
      </c>
      <c r="C376" s="33" t="s">
        <v>2253</v>
      </c>
      <c r="D376" s="33" t="s">
        <v>423</v>
      </c>
      <c r="E376" s="33">
        <v>0.100399512119385</v>
      </c>
    </row>
    <row r="377" spans="1:5" hidden="1">
      <c r="A377" s="33" t="e">
        <f>COUNTIF([1]Regions!$D$3:$D$30,BillionEURNEWAGE!$B377)&gt;0</f>
        <v>#VALUE!</v>
      </c>
      <c r="B377" s="33" t="s">
        <v>2239</v>
      </c>
      <c r="C377" s="33" t="s">
        <v>2253</v>
      </c>
      <c r="D377" s="33" t="s">
        <v>425</v>
      </c>
      <c r="E377" s="33">
        <v>4.0946867961145399E-4</v>
      </c>
    </row>
    <row r="378" spans="1:5" hidden="1">
      <c r="A378" s="33" t="e">
        <f>COUNTIF([1]Regions!$D$3:$D$30,BillionEURNEWAGE!$B378)&gt;0</f>
        <v>#VALUE!</v>
      </c>
      <c r="B378" s="33" t="s">
        <v>2239</v>
      </c>
      <c r="C378" s="33" t="s">
        <v>2253</v>
      </c>
      <c r="D378" s="33" t="s">
        <v>427</v>
      </c>
      <c r="E378" s="33">
        <v>2.64195344211213</v>
      </c>
    </row>
    <row r="379" spans="1:5" hidden="1">
      <c r="A379" s="33" t="e">
        <f>COUNTIF([1]Regions!$D$3:$D$30,BillionEURNEWAGE!$B379)&gt;0</f>
        <v>#VALUE!</v>
      </c>
      <c r="B379" s="33" t="s">
        <v>2239</v>
      </c>
      <c r="C379" s="33" t="s">
        <v>2253</v>
      </c>
      <c r="D379" s="33" t="s">
        <v>429</v>
      </c>
      <c r="E379" s="33">
        <v>2.2125606751634899E-2</v>
      </c>
    </row>
    <row r="380" spans="1:5" hidden="1">
      <c r="A380" s="33" t="e">
        <f>COUNTIF([1]Regions!$D$3:$D$30,BillionEURNEWAGE!$B380)&gt;0</f>
        <v>#VALUE!</v>
      </c>
      <c r="B380" s="33" t="s">
        <v>2239</v>
      </c>
      <c r="C380" s="33" t="s">
        <v>2253</v>
      </c>
      <c r="D380" s="33" t="s">
        <v>430</v>
      </c>
      <c r="E380" s="33">
        <v>322.34316446256997</v>
      </c>
    </row>
    <row r="381" spans="1:5" hidden="1">
      <c r="A381" s="33" t="e">
        <f>COUNTIF([1]Regions!$D$3:$D$30,BillionEURNEWAGE!$B381)&gt;0</f>
        <v>#VALUE!</v>
      </c>
      <c r="B381" s="33" t="s">
        <v>2240</v>
      </c>
      <c r="C381" s="33" t="s">
        <v>2253</v>
      </c>
      <c r="D381" s="33" t="s">
        <v>401</v>
      </c>
      <c r="E381" s="34">
        <v>9.2445331845656999E-7</v>
      </c>
    </row>
    <row r="382" spans="1:5" hidden="1">
      <c r="A382" s="33" t="e">
        <f>COUNTIF([1]Regions!$D$3:$D$30,BillionEURNEWAGE!$B382)&gt;0</f>
        <v>#VALUE!</v>
      </c>
      <c r="B382" s="33" t="s">
        <v>2240</v>
      </c>
      <c r="C382" s="33" t="s">
        <v>2253</v>
      </c>
      <c r="D382" s="33" t="s">
        <v>404</v>
      </c>
      <c r="E382" s="33">
        <v>4.0999224707260101E-4</v>
      </c>
    </row>
    <row r="383" spans="1:5" hidden="1">
      <c r="A383" s="33" t="e">
        <f>COUNTIF([1]Regions!$D$3:$D$30,BillionEURNEWAGE!$B383)&gt;0</f>
        <v>#VALUE!</v>
      </c>
      <c r="B383" s="33" t="s">
        <v>2240</v>
      </c>
      <c r="C383" s="33" t="s">
        <v>2253</v>
      </c>
      <c r="D383" s="33" t="s">
        <v>406</v>
      </c>
      <c r="E383" s="34">
        <v>7.1158636916724599E-6</v>
      </c>
    </row>
    <row r="384" spans="1:5" hidden="1">
      <c r="A384" s="33" t="e">
        <f>COUNTIF([1]Regions!$D$3:$D$30,BillionEURNEWAGE!$B384)&gt;0</f>
        <v>#VALUE!</v>
      </c>
      <c r="B384" s="33" t="s">
        <v>2240</v>
      </c>
      <c r="C384" s="33" t="s">
        <v>2253</v>
      </c>
      <c r="D384" s="33" t="s">
        <v>410</v>
      </c>
      <c r="E384" s="34">
        <v>8.7055322070742294E-5</v>
      </c>
    </row>
    <row r="385" spans="1:5" hidden="1">
      <c r="A385" s="33" t="e">
        <f>COUNTIF([1]Regions!$D$3:$D$30,BillionEURNEWAGE!$B385)&gt;0</f>
        <v>#VALUE!</v>
      </c>
      <c r="B385" s="33" t="s">
        <v>2240</v>
      </c>
      <c r="C385" s="33" t="s">
        <v>2253</v>
      </c>
      <c r="D385" s="33" t="s">
        <v>413</v>
      </c>
      <c r="E385" s="34">
        <v>3.3381058574260299E-6</v>
      </c>
    </row>
    <row r="386" spans="1:5" hidden="1">
      <c r="A386" s="33" t="e">
        <f>COUNTIF([1]Regions!$D$3:$D$30,BillionEURNEWAGE!$B386)&gt;0</f>
        <v>#VALUE!</v>
      </c>
      <c r="B386" s="33" t="s">
        <v>2240</v>
      </c>
      <c r="C386" s="33" t="s">
        <v>2253</v>
      </c>
      <c r="D386" s="33" t="s">
        <v>416</v>
      </c>
      <c r="E386" s="33">
        <v>1.2938566628410499E-2</v>
      </c>
    </row>
    <row r="387" spans="1:5" hidden="1">
      <c r="A387" s="33" t="e">
        <f>COUNTIF([1]Regions!$D$3:$D$30,BillionEURNEWAGE!$B387)&gt;0</f>
        <v>#VALUE!</v>
      </c>
      <c r="B387" s="33" t="s">
        <v>2240</v>
      </c>
      <c r="C387" s="33" t="s">
        <v>2253</v>
      </c>
      <c r="D387" s="33" t="s">
        <v>420</v>
      </c>
      <c r="E387" s="33">
        <v>1.0425563484989899E-3</v>
      </c>
    </row>
    <row r="388" spans="1:5" hidden="1">
      <c r="A388" s="33" t="e">
        <f>COUNTIF([1]Regions!$D$3:$D$30,BillionEURNEWAGE!$B388)&gt;0</f>
        <v>#VALUE!</v>
      </c>
      <c r="B388" s="33" t="s">
        <v>2240</v>
      </c>
      <c r="C388" s="33" t="s">
        <v>2253</v>
      </c>
      <c r="D388" s="33" t="s">
        <v>421</v>
      </c>
      <c r="E388" s="33">
        <v>2.4871400912156501E-2</v>
      </c>
    </row>
    <row r="389" spans="1:5" hidden="1">
      <c r="A389" s="33" t="e">
        <f>COUNTIF([1]Regions!$D$3:$D$30,BillionEURNEWAGE!$B389)&gt;0</f>
        <v>#VALUE!</v>
      </c>
      <c r="B389" s="33" t="s">
        <v>2240</v>
      </c>
      <c r="C389" s="33" t="s">
        <v>2253</v>
      </c>
      <c r="D389" s="33" t="s">
        <v>423</v>
      </c>
      <c r="E389" s="33">
        <v>2.1691590172915502E-2</v>
      </c>
    </row>
    <row r="390" spans="1:5" hidden="1">
      <c r="A390" s="33" t="e">
        <f>COUNTIF([1]Regions!$D$3:$D$30,BillionEURNEWAGE!$B390)&gt;0</f>
        <v>#VALUE!</v>
      </c>
      <c r="B390" s="33" t="s">
        <v>2240</v>
      </c>
      <c r="C390" s="33" t="s">
        <v>2253</v>
      </c>
      <c r="D390" s="33" t="s">
        <v>425</v>
      </c>
      <c r="E390" s="34">
        <v>8.8098012355071999E-5</v>
      </c>
    </row>
    <row r="391" spans="1:5" hidden="1">
      <c r="A391" s="33" t="e">
        <f>COUNTIF([1]Regions!$D$3:$D$30,BillionEURNEWAGE!$B391)&gt;0</f>
        <v>#VALUE!</v>
      </c>
      <c r="B391" s="33" t="s">
        <v>2240</v>
      </c>
      <c r="C391" s="33" t="s">
        <v>2253</v>
      </c>
      <c r="D391" s="33" t="s">
        <v>427</v>
      </c>
      <c r="E391" s="33">
        <v>1.7915115346814099</v>
      </c>
    </row>
    <row r="392" spans="1:5" hidden="1">
      <c r="A392" s="33" t="e">
        <f>COUNTIF([1]Regions!$D$3:$D$30,BillionEURNEWAGE!$B392)&gt;0</f>
        <v>#VALUE!</v>
      </c>
      <c r="B392" s="33" t="s">
        <v>2240</v>
      </c>
      <c r="C392" s="33" t="s">
        <v>2253</v>
      </c>
      <c r="D392" s="33" t="s">
        <v>429</v>
      </c>
      <c r="E392" s="33">
        <v>3.5370344733680302E-3</v>
      </c>
    </row>
    <row r="393" spans="1:5" hidden="1">
      <c r="A393" s="33" t="e">
        <f>COUNTIF([1]Regions!$D$3:$D$30,BillionEURNEWAGE!$B393)&gt;0</f>
        <v>#VALUE!</v>
      </c>
      <c r="B393" s="33" t="s">
        <v>2240</v>
      </c>
      <c r="C393" s="33" t="s">
        <v>2253</v>
      </c>
      <c r="D393" s="33" t="s">
        <v>430</v>
      </c>
      <c r="E393" s="33">
        <v>68.224240194366203</v>
      </c>
    </row>
    <row r="394" spans="1:5" hidden="1">
      <c r="A394" s="33" t="e">
        <f>COUNTIF([1]Regions!$D$3:$D$30,BillionEURNEWAGE!$B394)&gt;0</f>
        <v>#VALUE!</v>
      </c>
      <c r="B394" s="33" t="s">
        <v>2241</v>
      </c>
      <c r="C394" s="33" t="s">
        <v>2253</v>
      </c>
      <c r="D394" s="33" t="s">
        <v>401</v>
      </c>
      <c r="E394" s="34">
        <v>1.8846507116563201E-6</v>
      </c>
    </row>
    <row r="395" spans="1:5" hidden="1">
      <c r="A395" s="33" t="e">
        <f>COUNTIF([1]Regions!$D$3:$D$30,BillionEURNEWAGE!$B395)&gt;0</f>
        <v>#VALUE!</v>
      </c>
      <c r="B395" s="33" t="s">
        <v>2241</v>
      </c>
      <c r="C395" s="33" t="s">
        <v>2253</v>
      </c>
      <c r="D395" s="33" t="s">
        <v>404</v>
      </c>
      <c r="E395" s="33">
        <v>1.5292842061565199E-3</v>
      </c>
    </row>
    <row r="396" spans="1:5" hidden="1">
      <c r="A396" s="33" t="e">
        <f>COUNTIF([1]Regions!$D$3:$D$30,BillionEURNEWAGE!$B396)&gt;0</f>
        <v>#VALUE!</v>
      </c>
      <c r="B396" s="33" t="s">
        <v>2241</v>
      </c>
      <c r="C396" s="33" t="s">
        <v>2253</v>
      </c>
      <c r="D396" s="33" t="s">
        <v>406</v>
      </c>
      <c r="E396" s="34">
        <v>2.6904849868219899E-5</v>
      </c>
    </row>
    <row r="397" spans="1:5" hidden="1">
      <c r="A397" s="33" t="e">
        <f>COUNTIF([1]Regions!$D$3:$D$30,BillionEURNEWAGE!$B397)&gt;0</f>
        <v>#VALUE!</v>
      </c>
      <c r="B397" s="33" t="s">
        <v>2241</v>
      </c>
      <c r="C397" s="33" t="s">
        <v>2253</v>
      </c>
      <c r="D397" s="33" t="s">
        <v>410</v>
      </c>
      <c r="E397" s="33">
        <v>3.2131145305485401E-4</v>
      </c>
    </row>
    <row r="398" spans="1:5" hidden="1">
      <c r="A398" s="33" t="e">
        <f>COUNTIF([1]Regions!$D$3:$D$30,BillionEURNEWAGE!$B398)&gt;0</f>
        <v>#VALUE!</v>
      </c>
      <c r="B398" s="33" t="s">
        <v>2241</v>
      </c>
      <c r="C398" s="33" t="s">
        <v>2253</v>
      </c>
      <c r="D398" s="33" t="s">
        <v>416</v>
      </c>
      <c r="E398" s="33">
        <v>5.2343373144265097</v>
      </c>
    </row>
    <row r="399" spans="1:5" hidden="1">
      <c r="A399" s="33" t="e">
        <f>COUNTIF([1]Regions!$D$3:$D$30,BillionEURNEWAGE!$B399)&gt;0</f>
        <v>#VALUE!</v>
      </c>
      <c r="B399" s="33" t="s">
        <v>2241</v>
      </c>
      <c r="C399" s="33" t="s">
        <v>2253</v>
      </c>
      <c r="D399" s="33" t="s">
        <v>420</v>
      </c>
      <c r="E399" s="33">
        <v>3.8819008707338602E-3</v>
      </c>
    </row>
    <row r="400" spans="1:5" hidden="1">
      <c r="A400" s="33" t="e">
        <f>COUNTIF([1]Regions!$D$3:$D$30,BillionEURNEWAGE!$B400)&gt;0</f>
        <v>#VALUE!</v>
      </c>
      <c r="B400" s="33" t="s">
        <v>2241</v>
      </c>
      <c r="C400" s="33" t="s">
        <v>2253</v>
      </c>
      <c r="D400" s="33" t="s">
        <v>421</v>
      </c>
      <c r="E400" s="33">
        <v>9.4358810069137197E-2</v>
      </c>
    </row>
    <row r="401" spans="1:5" hidden="1">
      <c r="A401" s="33" t="e">
        <f>COUNTIF([1]Regions!$D$3:$D$30,BillionEURNEWAGE!$B401)&gt;0</f>
        <v>#VALUE!</v>
      </c>
      <c r="B401" s="33" t="s">
        <v>2241</v>
      </c>
      <c r="C401" s="33" t="s">
        <v>2253</v>
      </c>
      <c r="D401" s="33" t="s">
        <v>423</v>
      </c>
      <c r="E401" s="33">
        <v>8.0761510495252806E-2</v>
      </c>
    </row>
    <row r="402" spans="1:5" hidden="1">
      <c r="A402" s="33" t="e">
        <f>COUNTIF([1]Regions!$D$3:$D$30,BillionEURNEWAGE!$B402)&gt;0</f>
        <v>#VALUE!</v>
      </c>
      <c r="B402" s="33" t="s">
        <v>2241</v>
      </c>
      <c r="C402" s="33" t="s">
        <v>2253</v>
      </c>
      <c r="D402" s="33" t="s">
        <v>425</v>
      </c>
      <c r="E402" s="33">
        <v>3.2806289526179E-4</v>
      </c>
    </row>
    <row r="403" spans="1:5" hidden="1">
      <c r="A403" s="33" t="e">
        <f>COUNTIF([1]Regions!$D$3:$D$30,BillionEURNEWAGE!$B403)&gt;0</f>
        <v>#VALUE!</v>
      </c>
      <c r="B403" s="33" t="s">
        <v>2241</v>
      </c>
      <c r="C403" s="33" t="s">
        <v>2253</v>
      </c>
      <c r="D403" s="33" t="s">
        <v>427</v>
      </c>
      <c r="E403" s="33">
        <v>0.98675903232790096</v>
      </c>
    </row>
    <row r="404" spans="1:5" hidden="1">
      <c r="A404" s="33" t="e">
        <f>COUNTIF([1]Regions!$D$3:$D$30,BillionEURNEWAGE!$B404)&gt;0</f>
        <v>#VALUE!</v>
      </c>
      <c r="B404" s="33" t="s">
        <v>2241</v>
      </c>
      <c r="C404" s="33" t="s">
        <v>2253</v>
      </c>
      <c r="D404" s="33" t="s">
        <v>429</v>
      </c>
      <c r="E404" s="33">
        <v>9.1053562983765702E-3</v>
      </c>
    </row>
    <row r="405" spans="1:5" hidden="1">
      <c r="A405" s="33" t="e">
        <f>COUNTIF([1]Regions!$D$3:$D$30,BillionEURNEWAGE!$B405)&gt;0</f>
        <v>#VALUE!</v>
      </c>
      <c r="B405" s="33" t="s">
        <v>2241</v>
      </c>
      <c r="C405" s="33" t="s">
        <v>2253</v>
      </c>
      <c r="D405" s="33" t="s">
        <v>430</v>
      </c>
      <c r="E405" s="33">
        <v>248.57666132055601</v>
      </c>
    </row>
    <row r="406" spans="1:5" hidden="1">
      <c r="A406" s="33" t="e">
        <f>COUNTIF([1]Regions!$D$3:$D$30,BillionEURNEWAGE!$B406)&gt;0</f>
        <v>#VALUE!</v>
      </c>
      <c r="B406" s="33" t="s">
        <v>2242</v>
      </c>
      <c r="C406" s="33" t="s">
        <v>2253</v>
      </c>
      <c r="D406" s="33" t="s">
        <v>401</v>
      </c>
      <c r="E406" s="34">
        <v>3.25068223995467E-5</v>
      </c>
    </row>
    <row r="407" spans="1:5" hidden="1">
      <c r="A407" s="33" t="e">
        <f>COUNTIF([1]Regions!$D$3:$D$30,BillionEURNEWAGE!$B407)&gt;0</f>
        <v>#VALUE!</v>
      </c>
      <c r="B407" s="33" t="s">
        <v>2242</v>
      </c>
      <c r="C407" s="33" t="s">
        <v>2253</v>
      </c>
      <c r="D407" s="33" t="s">
        <v>404</v>
      </c>
      <c r="E407" s="33">
        <v>1.5228577814478299E-3</v>
      </c>
    </row>
    <row r="408" spans="1:5" hidden="1">
      <c r="A408" s="33" t="e">
        <f>COUNTIF([1]Regions!$D$3:$D$30,BillionEURNEWAGE!$B408)&gt;0</f>
        <v>#VALUE!</v>
      </c>
      <c r="B408" s="33" t="s">
        <v>2242</v>
      </c>
      <c r="C408" s="33" t="s">
        <v>2253</v>
      </c>
      <c r="D408" s="33" t="s">
        <v>406</v>
      </c>
      <c r="E408" s="34">
        <v>2.5924010092767701E-5</v>
      </c>
    </row>
    <row r="409" spans="1:5" hidden="1">
      <c r="A409" s="33" t="e">
        <f>COUNTIF([1]Regions!$D$3:$D$30,BillionEURNEWAGE!$B409)&gt;0</f>
        <v>#VALUE!</v>
      </c>
      <c r="B409" s="33" t="s">
        <v>2242</v>
      </c>
      <c r="C409" s="33" t="s">
        <v>2253</v>
      </c>
      <c r="D409" s="33" t="s">
        <v>410</v>
      </c>
      <c r="E409" s="33">
        <v>0.17765648483334801</v>
      </c>
    </row>
    <row r="410" spans="1:5" hidden="1">
      <c r="A410" s="33" t="e">
        <f>COUNTIF([1]Regions!$D$3:$D$30,BillionEURNEWAGE!$B410)&gt;0</f>
        <v>#VALUE!</v>
      </c>
      <c r="B410" s="33" t="s">
        <v>2242</v>
      </c>
      <c r="C410" s="33" t="s">
        <v>2253</v>
      </c>
      <c r="D410" s="33" t="s">
        <v>413</v>
      </c>
      <c r="E410" s="34">
        <v>4.2906967391814298E-5</v>
      </c>
    </row>
    <row r="411" spans="1:5" hidden="1">
      <c r="A411" s="33" t="e">
        <f>COUNTIF([1]Regions!$D$3:$D$30,BillionEURNEWAGE!$B411)&gt;0</f>
        <v>#VALUE!</v>
      </c>
      <c r="B411" s="33" t="s">
        <v>2242</v>
      </c>
      <c r="C411" s="33" t="s">
        <v>2253</v>
      </c>
      <c r="D411" s="33" t="s">
        <v>416</v>
      </c>
      <c r="E411" s="33">
        <v>0.17889164363261001</v>
      </c>
    </row>
    <row r="412" spans="1:5" hidden="1">
      <c r="A412" s="33" t="e">
        <f>COUNTIF([1]Regions!$D$3:$D$30,BillionEURNEWAGE!$B412)&gt;0</f>
        <v>#VALUE!</v>
      </c>
      <c r="B412" s="33" t="s">
        <v>2242</v>
      </c>
      <c r="C412" s="33" t="s">
        <v>2253</v>
      </c>
      <c r="D412" s="33" t="s">
        <v>420</v>
      </c>
      <c r="E412" s="33">
        <v>0.131106744287567</v>
      </c>
    </row>
    <row r="413" spans="1:5" hidden="1">
      <c r="A413" s="33" t="e">
        <f>COUNTIF([1]Regions!$D$3:$D$30,BillionEURNEWAGE!$B413)&gt;0</f>
        <v>#VALUE!</v>
      </c>
      <c r="B413" s="33" t="s">
        <v>2242</v>
      </c>
      <c r="C413" s="33" t="s">
        <v>2253</v>
      </c>
      <c r="D413" s="33" t="s">
        <v>421</v>
      </c>
      <c r="E413" s="33">
        <v>9.8855638707076005E-2</v>
      </c>
    </row>
    <row r="414" spans="1:5" hidden="1">
      <c r="A414" s="33" t="e">
        <f>COUNTIF([1]Regions!$D$3:$D$30,BillionEURNEWAGE!$B414)&gt;0</f>
        <v>#VALUE!</v>
      </c>
      <c r="B414" s="33" t="s">
        <v>2242</v>
      </c>
      <c r="C414" s="33" t="s">
        <v>2253</v>
      </c>
      <c r="D414" s="33" t="s">
        <v>423</v>
      </c>
      <c r="E414" s="33">
        <v>0.35122975251482602</v>
      </c>
    </row>
    <row r="415" spans="1:5" hidden="1">
      <c r="A415" s="33" t="e">
        <f>COUNTIF([1]Regions!$D$3:$D$30,BillionEURNEWAGE!$B415)&gt;0</f>
        <v>#VALUE!</v>
      </c>
      <c r="B415" s="33" t="s">
        <v>2242</v>
      </c>
      <c r="C415" s="33" t="s">
        <v>2253</v>
      </c>
      <c r="D415" s="33" t="s">
        <v>425</v>
      </c>
      <c r="E415" s="33">
        <v>3.2554858828265999E-4</v>
      </c>
    </row>
    <row r="416" spans="1:5" hidden="1">
      <c r="A416" s="33" t="e">
        <f>COUNTIF([1]Regions!$D$3:$D$30,BillionEURNEWAGE!$B416)&gt;0</f>
        <v>#VALUE!</v>
      </c>
      <c r="B416" s="33" t="s">
        <v>2242</v>
      </c>
      <c r="C416" s="33" t="s">
        <v>2253</v>
      </c>
      <c r="D416" s="33" t="s">
        <v>427</v>
      </c>
      <c r="E416" s="33">
        <v>1.5737088861775901</v>
      </c>
    </row>
    <row r="417" spans="1:5" hidden="1">
      <c r="A417" s="33" t="e">
        <f>COUNTIF([1]Regions!$D$3:$D$30,BillionEURNEWAGE!$B417)&gt;0</f>
        <v>#VALUE!</v>
      </c>
      <c r="B417" s="33" t="s">
        <v>2242</v>
      </c>
      <c r="C417" s="33" t="s">
        <v>2253</v>
      </c>
      <c r="D417" s="33" t="s">
        <v>429</v>
      </c>
      <c r="E417" s="33">
        <v>0.59570897509768606</v>
      </c>
    </row>
    <row r="418" spans="1:5" hidden="1">
      <c r="A418" s="33" t="e">
        <f>COUNTIF([1]Regions!$D$3:$D$30,BillionEURNEWAGE!$B418)&gt;0</f>
        <v>#VALUE!</v>
      </c>
      <c r="B418" s="33" t="s">
        <v>2242</v>
      </c>
      <c r="C418" s="33" t="s">
        <v>2253</v>
      </c>
      <c r="D418" s="33" t="s">
        <v>430</v>
      </c>
      <c r="E418" s="33">
        <v>247.80650999927599</v>
      </c>
    </row>
    <row r="419" spans="1:5" hidden="1">
      <c r="A419" s="33" t="e">
        <f>COUNTIF([1]Regions!$D$3:$D$30,BillionEURNEWAGE!$B419)&gt;0</f>
        <v>#VALUE!</v>
      </c>
      <c r="B419" s="33" t="s">
        <v>2243</v>
      </c>
      <c r="C419" s="33" t="s">
        <v>2253</v>
      </c>
      <c r="D419" s="33" t="s">
        <v>401</v>
      </c>
      <c r="E419" s="34">
        <v>4.5924378062746796E-6</v>
      </c>
    </row>
    <row r="420" spans="1:5" hidden="1">
      <c r="A420" s="33" t="e">
        <f>COUNTIF([1]Regions!$D$3:$D$30,BillionEURNEWAGE!$B420)&gt;0</f>
        <v>#VALUE!</v>
      </c>
      <c r="B420" s="33" t="s">
        <v>2243</v>
      </c>
      <c r="C420" s="33" t="s">
        <v>2253</v>
      </c>
      <c r="D420" s="33" t="s">
        <v>404</v>
      </c>
      <c r="E420" s="33">
        <v>2.3327732417640999E-3</v>
      </c>
    </row>
    <row r="421" spans="1:5" hidden="1">
      <c r="A421" s="33" t="e">
        <f>COUNTIF([1]Regions!$D$3:$D$30,BillionEURNEWAGE!$B421)&gt;0</f>
        <v>#VALUE!</v>
      </c>
      <c r="B421" s="33" t="s">
        <v>2243</v>
      </c>
      <c r="C421" s="33" t="s">
        <v>2253</v>
      </c>
      <c r="D421" s="33" t="s">
        <v>406</v>
      </c>
      <c r="E421" s="34">
        <v>4.0474638987568803E-5</v>
      </c>
    </row>
    <row r="422" spans="1:5" hidden="1">
      <c r="A422" s="33" t="e">
        <f>COUNTIF([1]Regions!$D$3:$D$30,BillionEURNEWAGE!$B422)&gt;0</f>
        <v>#VALUE!</v>
      </c>
      <c r="B422" s="33" t="s">
        <v>2243</v>
      </c>
      <c r="C422" s="33" t="s">
        <v>2253</v>
      </c>
      <c r="D422" s="33" t="s">
        <v>410</v>
      </c>
      <c r="E422" s="33">
        <v>4.95354080386541E-4</v>
      </c>
    </row>
    <row r="423" spans="1:5" hidden="1">
      <c r="A423" s="33" t="e">
        <f>COUNTIF([1]Regions!$D$3:$D$30,BillionEURNEWAGE!$B423)&gt;0</f>
        <v>#VALUE!</v>
      </c>
      <c r="B423" s="33" t="s">
        <v>2243</v>
      </c>
      <c r="C423" s="33" t="s">
        <v>2253</v>
      </c>
      <c r="D423" s="33" t="s">
        <v>413</v>
      </c>
      <c r="E423" s="34">
        <v>1.4349329670936299E-5</v>
      </c>
    </row>
    <row r="424" spans="1:5" hidden="1">
      <c r="A424" s="33" t="e">
        <f>COUNTIF([1]Regions!$D$3:$D$30,BillionEURNEWAGE!$B424)&gt;0</f>
        <v>#VALUE!</v>
      </c>
      <c r="B424" s="33" t="s">
        <v>2243</v>
      </c>
      <c r="C424" s="33" t="s">
        <v>2253</v>
      </c>
      <c r="D424" s="33" t="s">
        <v>416</v>
      </c>
      <c r="E424" s="33">
        <v>7.3399243123771205E-2</v>
      </c>
    </row>
    <row r="425" spans="1:5" hidden="1">
      <c r="A425" s="33" t="e">
        <f>COUNTIF([1]Regions!$D$3:$D$30,BillionEURNEWAGE!$B425)&gt;0</f>
        <v>#VALUE!</v>
      </c>
      <c r="B425" s="33" t="s">
        <v>2243</v>
      </c>
      <c r="C425" s="33" t="s">
        <v>2253</v>
      </c>
      <c r="D425" s="33" t="s">
        <v>420</v>
      </c>
      <c r="E425" s="33">
        <v>5.89967441066226E-3</v>
      </c>
    </row>
    <row r="426" spans="1:5" hidden="1">
      <c r="A426" s="33" t="e">
        <f>COUNTIF([1]Regions!$D$3:$D$30,BillionEURNEWAGE!$B426)&gt;0</f>
        <v>#VALUE!</v>
      </c>
      <c r="B426" s="33" t="s">
        <v>2243</v>
      </c>
      <c r="C426" s="33" t="s">
        <v>2253</v>
      </c>
      <c r="D426" s="33" t="s">
        <v>421</v>
      </c>
      <c r="E426" s="33">
        <v>0.14417080606858201</v>
      </c>
    </row>
    <row r="427" spans="1:5" hidden="1">
      <c r="A427" s="33" t="e">
        <f>COUNTIF([1]Regions!$D$3:$D$30,BillionEURNEWAGE!$B427)&gt;0</f>
        <v>#VALUE!</v>
      </c>
      <c r="B427" s="33" t="s">
        <v>2243</v>
      </c>
      <c r="C427" s="33" t="s">
        <v>2253</v>
      </c>
      <c r="D427" s="33" t="s">
        <v>423</v>
      </c>
      <c r="E427" s="33">
        <v>0.123768931383308</v>
      </c>
    </row>
    <row r="428" spans="1:5" hidden="1">
      <c r="A428" s="33" t="e">
        <f>COUNTIF([1]Regions!$D$3:$D$30,BillionEURNEWAGE!$B428)&gt;0</f>
        <v>#VALUE!</v>
      </c>
      <c r="B428" s="33" t="s">
        <v>2243</v>
      </c>
      <c r="C428" s="33" t="s">
        <v>2253</v>
      </c>
      <c r="D428" s="33" t="s">
        <v>425</v>
      </c>
      <c r="E428" s="33">
        <v>4.9231777873915902E-4</v>
      </c>
    </row>
    <row r="429" spans="1:5" hidden="1">
      <c r="A429" s="33" t="e">
        <f>COUNTIF([1]Regions!$D$3:$D$30,BillionEURNEWAGE!$B429)&gt;0</f>
        <v>#VALUE!</v>
      </c>
      <c r="B429" s="33" t="s">
        <v>2243</v>
      </c>
      <c r="C429" s="33" t="s">
        <v>2253</v>
      </c>
      <c r="D429" s="33" t="s">
        <v>427</v>
      </c>
      <c r="E429" s="33">
        <v>5.2759929718357801E-2</v>
      </c>
    </row>
    <row r="430" spans="1:5" hidden="1">
      <c r="A430" s="33" t="e">
        <f>COUNTIF([1]Regions!$D$3:$D$30,BillionEURNEWAGE!$B430)&gt;0</f>
        <v>#VALUE!</v>
      </c>
      <c r="B430" s="33" t="s">
        <v>2243</v>
      </c>
      <c r="C430" s="33" t="s">
        <v>2253</v>
      </c>
      <c r="D430" s="33" t="s">
        <v>429</v>
      </c>
      <c r="E430" s="33">
        <v>1.4567231428914199E-2</v>
      </c>
    </row>
    <row r="431" spans="1:5" hidden="1">
      <c r="A431" s="33" t="e">
        <f>COUNTIF([1]Regions!$D$3:$D$30,BillionEURNEWAGE!$B431)&gt;0</f>
        <v>#VALUE!</v>
      </c>
      <c r="B431" s="33" t="s">
        <v>2243</v>
      </c>
      <c r="C431" s="33" t="s">
        <v>2253</v>
      </c>
      <c r="D431" s="33" t="s">
        <v>430</v>
      </c>
      <c r="E431" s="33">
        <v>397.97812308189401</v>
      </c>
    </row>
    <row r="432" spans="1:5" hidden="1">
      <c r="A432" s="33" t="e">
        <f>COUNTIF([1]Regions!$D$3:$D$30,BillionEURNEWAGE!$B432)&gt;0</f>
        <v>#VALUE!</v>
      </c>
      <c r="B432" s="33" t="s">
        <v>2244</v>
      </c>
      <c r="C432" s="33" t="s">
        <v>2253</v>
      </c>
      <c r="D432" s="33" t="s">
        <v>401</v>
      </c>
      <c r="E432" s="34">
        <v>3.44409155774924E-6</v>
      </c>
    </row>
    <row r="433" spans="1:5" hidden="1">
      <c r="A433" s="33" t="e">
        <f>COUNTIF([1]Regions!$D$3:$D$30,BillionEURNEWAGE!$B433)&gt;0</f>
        <v>#VALUE!</v>
      </c>
      <c r="B433" s="33" t="s">
        <v>2244</v>
      </c>
      <c r="C433" s="33" t="s">
        <v>2253</v>
      </c>
      <c r="D433" s="33" t="s">
        <v>404</v>
      </c>
      <c r="E433" s="33">
        <v>1.63904963538658E-3</v>
      </c>
    </row>
    <row r="434" spans="1:5" hidden="1">
      <c r="A434" s="33" t="e">
        <f>COUNTIF([1]Regions!$D$3:$D$30,BillionEURNEWAGE!$B434)&gt;0</f>
        <v>#VALUE!</v>
      </c>
      <c r="B434" s="33" t="s">
        <v>2244</v>
      </c>
      <c r="C434" s="33" t="s">
        <v>2253</v>
      </c>
      <c r="D434" s="33" t="s">
        <v>406</v>
      </c>
      <c r="E434" s="34">
        <v>2.8588721998977499E-5</v>
      </c>
    </row>
    <row r="435" spans="1:5" hidden="1">
      <c r="A435" s="33" t="e">
        <f>COUNTIF([1]Regions!$D$3:$D$30,BillionEURNEWAGE!$B435)&gt;0</f>
        <v>#VALUE!</v>
      </c>
      <c r="B435" s="33" t="s">
        <v>2244</v>
      </c>
      <c r="C435" s="33" t="s">
        <v>2253</v>
      </c>
      <c r="D435" s="33" t="s">
        <v>410</v>
      </c>
      <c r="E435" s="33">
        <v>3.4977943112812098E-4</v>
      </c>
    </row>
    <row r="436" spans="1:5" hidden="1">
      <c r="A436" s="33" t="e">
        <f>COUNTIF([1]Regions!$D$3:$D$30,BillionEURNEWAGE!$B436)&gt;0</f>
        <v>#VALUE!</v>
      </c>
      <c r="B436" s="33" t="s">
        <v>2244</v>
      </c>
      <c r="C436" s="33" t="s">
        <v>2253</v>
      </c>
      <c r="D436" s="33" t="s">
        <v>416</v>
      </c>
      <c r="E436" s="33">
        <v>5.43367341679733E-2</v>
      </c>
    </row>
    <row r="437" spans="1:5" hidden="1">
      <c r="A437" s="33" t="e">
        <f>COUNTIF([1]Regions!$D$3:$D$30,BillionEURNEWAGE!$B437)&gt;0</f>
        <v>#VALUE!</v>
      </c>
      <c r="B437" s="33" t="s">
        <v>2244</v>
      </c>
      <c r="C437" s="33" t="s">
        <v>2253</v>
      </c>
      <c r="D437" s="33" t="s">
        <v>420</v>
      </c>
      <c r="E437" s="33">
        <v>4.1708610766363896E-3</v>
      </c>
    </row>
    <row r="438" spans="1:5" hidden="1">
      <c r="A438" s="33" t="e">
        <f>COUNTIF([1]Regions!$D$3:$D$30,BillionEURNEWAGE!$B438)&gt;0</f>
        <v>#VALUE!</v>
      </c>
      <c r="B438" s="33" t="s">
        <v>2244</v>
      </c>
      <c r="C438" s="33" t="s">
        <v>2253</v>
      </c>
      <c r="D438" s="33" t="s">
        <v>421</v>
      </c>
      <c r="E438" s="33">
        <v>0.101067217049995</v>
      </c>
    </row>
    <row r="439" spans="1:5" hidden="1">
      <c r="A439" s="33" t="e">
        <f>COUNTIF([1]Regions!$D$3:$D$30,BillionEURNEWAGE!$B439)&gt;0</f>
        <v>#VALUE!</v>
      </c>
      <c r="B439" s="33" t="s">
        <v>2244</v>
      </c>
      <c r="C439" s="33" t="s">
        <v>2253</v>
      </c>
      <c r="D439" s="33" t="s">
        <v>423</v>
      </c>
      <c r="E439" s="33">
        <v>8.7955595998810296E-2</v>
      </c>
    </row>
    <row r="440" spans="1:5" hidden="1">
      <c r="A440" s="33" t="e">
        <f>COUNTIF([1]Regions!$D$3:$D$30,BillionEURNEWAGE!$B440)&gt;0</f>
        <v>#VALUE!</v>
      </c>
      <c r="B440" s="33" t="s">
        <v>2244</v>
      </c>
      <c r="C440" s="33" t="s">
        <v>2253</v>
      </c>
      <c r="D440" s="33" t="s">
        <v>425</v>
      </c>
      <c r="E440" s="33">
        <v>3.44484137602174E-4</v>
      </c>
    </row>
    <row r="441" spans="1:5" hidden="1">
      <c r="A441" s="33" t="e">
        <f>COUNTIF([1]Regions!$D$3:$D$30,BillionEURNEWAGE!$B441)&gt;0</f>
        <v>#VALUE!</v>
      </c>
      <c r="B441" s="33" t="s">
        <v>2244</v>
      </c>
      <c r="C441" s="33" t="s">
        <v>2253</v>
      </c>
      <c r="D441" s="33" t="s">
        <v>427</v>
      </c>
      <c r="E441" s="33">
        <v>1.43177714444368</v>
      </c>
    </row>
    <row r="442" spans="1:5" hidden="1">
      <c r="A442" s="33" t="e">
        <f>COUNTIF([1]Regions!$D$3:$D$30,BillionEURNEWAGE!$B442)&gt;0</f>
        <v>#VALUE!</v>
      </c>
      <c r="B442" s="33" t="s">
        <v>2244</v>
      </c>
      <c r="C442" s="33" t="s">
        <v>2253</v>
      </c>
      <c r="D442" s="33" t="s">
        <v>429</v>
      </c>
      <c r="E442" s="33">
        <v>4.8459703642272003E-3</v>
      </c>
    </row>
    <row r="443" spans="1:5" hidden="1">
      <c r="A443" s="33" t="e">
        <f>COUNTIF([1]Regions!$D$3:$D$30,BillionEURNEWAGE!$B443)&gt;0</f>
        <v>#VALUE!</v>
      </c>
      <c r="B443" s="33" t="s">
        <v>2244</v>
      </c>
      <c r="C443" s="33" t="s">
        <v>2253</v>
      </c>
      <c r="D443" s="33" t="s">
        <v>430</v>
      </c>
      <c r="E443" s="33">
        <v>273.16635401797799</v>
      </c>
    </row>
    <row r="444" spans="1:5" hidden="1">
      <c r="A444" s="33" t="e">
        <f>COUNTIF([1]Regions!$D$3:$D$30,BillionEURNEWAGE!$B444)&gt;0</f>
        <v>#VALUE!</v>
      </c>
      <c r="B444" s="33" t="s">
        <v>2245</v>
      </c>
      <c r="C444" s="33" t="s">
        <v>2253</v>
      </c>
      <c r="D444" s="33" t="s">
        <v>401</v>
      </c>
      <c r="E444" s="34">
        <v>3.25223881857532E-6</v>
      </c>
    </row>
    <row r="445" spans="1:5" hidden="1">
      <c r="A445" s="33" t="e">
        <f>COUNTIF([1]Regions!$D$3:$D$30,BillionEURNEWAGE!$B445)&gt;0</f>
        <v>#VALUE!</v>
      </c>
      <c r="B445" s="33" t="s">
        <v>2245</v>
      </c>
      <c r="C445" s="33" t="s">
        <v>2253</v>
      </c>
      <c r="D445" s="33" t="s">
        <v>404</v>
      </c>
      <c r="E445" s="33">
        <v>1.49324463253029E-3</v>
      </c>
    </row>
    <row r="446" spans="1:5" hidden="1">
      <c r="A446" s="33" t="e">
        <f>COUNTIF([1]Regions!$D$3:$D$30,BillionEURNEWAGE!$B446)&gt;0</f>
        <v>#VALUE!</v>
      </c>
      <c r="B446" s="33" t="s">
        <v>2245</v>
      </c>
      <c r="C446" s="33" t="s">
        <v>2253</v>
      </c>
      <c r="D446" s="33" t="s">
        <v>406</v>
      </c>
      <c r="E446" s="34">
        <v>2.55564408620921E-5</v>
      </c>
    </row>
    <row r="447" spans="1:5" hidden="1">
      <c r="A447" s="33" t="e">
        <f>COUNTIF([1]Regions!$D$3:$D$30,BillionEURNEWAGE!$B447)&gt;0</f>
        <v>#VALUE!</v>
      </c>
      <c r="B447" s="33" t="s">
        <v>2245</v>
      </c>
      <c r="C447" s="33" t="s">
        <v>2253</v>
      </c>
      <c r="D447" s="33" t="s">
        <v>410</v>
      </c>
      <c r="E447" s="33">
        <v>3.2029827055144399E-4</v>
      </c>
    </row>
    <row r="448" spans="1:5" hidden="1">
      <c r="A448" s="33" t="e">
        <f>COUNTIF([1]Regions!$D$3:$D$30,BillionEURNEWAGE!$B448)&gt;0</f>
        <v>#VALUE!</v>
      </c>
      <c r="B448" s="33" t="s">
        <v>2245</v>
      </c>
      <c r="C448" s="33" t="s">
        <v>2253</v>
      </c>
      <c r="D448" s="33" t="s">
        <v>411</v>
      </c>
      <c r="E448" s="34">
        <v>3.0575717848482602E-6</v>
      </c>
    </row>
    <row r="449" spans="1:5" hidden="1">
      <c r="A449" s="33" t="e">
        <f>COUNTIF([1]Regions!$D$3:$D$30,BillionEURNEWAGE!$B449)&gt;0</f>
        <v>#VALUE!</v>
      </c>
      <c r="B449" s="33" t="s">
        <v>2245</v>
      </c>
      <c r="C449" s="33" t="s">
        <v>2253</v>
      </c>
      <c r="D449" s="33" t="s">
        <v>413</v>
      </c>
      <c r="E449" s="34">
        <v>2.6234596719948498E-6</v>
      </c>
    </row>
    <row r="450" spans="1:5" hidden="1">
      <c r="A450" s="33" t="e">
        <f>COUNTIF([1]Regions!$D$3:$D$30,BillionEURNEWAGE!$B450)&gt;0</f>
        <v>#VALUE!</v>
      </c>
      <c r="B450" s="33" t="s">
        <v>2245</v>
      </c>
      <c r="C450" s="33" t="s">
        <v>2253</v>
      </c>
      <c r="D450" s="33" t="s">
        <v>416</v>
      </c>
      <c r="E450" s="33">
        <v>0.136536933387718</v>
      </c>
    </row>
    <row r="451" spans="1:5" hidden="1">
      <c r="A451" s="33" t="e">
        <f>COUNTIF([1]Regions!$D$3:$D$30,BillionEURNEWAGE!$B451)&gt;0</f>
        <v>#VALUE!</v>
      </c>
      <c r="B451" s="33" t="s">
        <v>2245</v>
      </c>
      <c r="C451" s="33" t="s">
        <v>2253</v>
      </c>
      <c r="D451" s="33" t="s">
        <v>420</v>
      </c>
      <c r="E451" s="33">
        <v>3.79042695371915E-3</v>
      </c>
    </row>
    <row r="452" spans="1:5" hidden="1">
      <c r="A452" s="33" t="e">
        <f>COUNTIF([1]Regions!$D$3:$D$30,BillionEURNEWAGE!$B452)&gt;0</f>
        <v>#VALUE!</v>
      </c>
      <c r="B452" s="33" t="s">
        <v>2245</v>
      </c>
      <c r="C452" s="33" t="s">
        <v>2253</v>
      </c>
      <c r="D452" s="33" t="s">
        <v>421</v>
      </c>
      <c r="E452" s="33">
        <v>9.2633479047496095E-2</v>
      </c>
    </row>
    <row r="453" spans="1:5" hidden="1">
      <c r="A453" s="33" t="e">
        <f>COUNTIF([1]Regions!$D$3:$D$30,BillionEURNEWAGE!$B453)&gt;0</f>
        <v>#VALUE!</v>
      </c>
      <c r="B453" s="33" t="s">
        <v>2245</v>
      </c>
      <c r="C453" s="33" t="s">
        <v>2253</v>
      </c>
      <c r="D453" s="33" t="s">
        <v>423</v>
      </c>
      <c r="E453" s="33">
        <v>7.9374585801583797E-2</v>
      </c>
    </row>
    <row r="454" spans="1:5" hidden="1">
      <c r="A454" s="33" t="e">
        <f>COUNTIF([1]Regions!$D$3:$D$30,BillionEURNEWAGE!$B454)&gt;0</f>
        <v>#VALUE!</v>
      </c>
      <c r="B454" s="33" t="s">
        <v>2245</v>
      </c>
      <c r="C454" s="33" t="s">
        <v>2253</v>
      </c>
      <c r="D454" s="33" t="s">
        <v>425</v>
      </c>
      <c r="E454" s="33">
        <v>3.2249333948356998E-4</v>
      </c>
    </row>
    <row r="455" spans="1:5" hidden="1">
      <c r="A455" s="33" t="e">
        <f>COUNTIF([1]Regions!$D$3:$D$30,BillionEURNEWAGE!$B455)&gt;0</f>
        <v>#VALUE!</v>
      </c>
      <c r="B455" s="33" t="s">
        <v>2245</v>
      </c>
      <c r="C455" s="33" t="s">
        <v>2253</v>
      </c>
      <c r="D455" s="33" t="s">
        <v>427</v>
      </c>
      <c r="E455" s="33">
        <v>8.8521390023206408</v>
      </c>
    </row>
    <row r="456" spans="1:5" hidden="1">
      <c r="A456" s="33" t="e">
        <f>COUNTIF([1]Regions!$D$3:$D$30,BillionEURNEWAGE!$B456)&gt;0</f>
        <v>#VALUE!</v>
      </c>
      <c r="B456" s="33" t="s">
        <v>2245</v>
      </c>
      <c r="C456" s="33" t="s">
        <v>2253</v>
      </c>
      <c r="D456" s="33" t="s">
        <v>429</v>
      </c>
      <c r="E456" s="33">
        <v>9.4080464931869598E-3</v>
      </c>
    </row>
    <row r="457" spans="1:5" hidden="1">
      <c r="A457" s="33" t="e">
        <f>COUNTIF([1]Regions!$D$3:$D$30,BillionEURNEWAGE!$B457)&gt;0</f>
        <v>#VALUE!</v>
      </c>
      <c r="B457" s="33" t="s">
        <v>2245</v>
      </c>
      <c r="C457" s="33" t="s">
        <v>2253</v>
      </c>
      <c r="D457" s="33" t="s">
        <v>430</v>
      </c>
      <c r="E457" s="33">
        <v>242.51113791423401</v>
      </c>
    </row>
    <row r="458" spans="1:5" hidden="1">
      <c r="A458" s="33" t="e">
        <f>COUNTIF([1]Regions!$D$3:$D$30,BillionEURNEWAGE!$B458)&gt;0</f>
        <v>#VALUE!</v>
      </c>
      <c r="B458" s="33" t="s">
        <v>2246</v>
      </c>
      <c r="C458" s="33" t="s">
        <v>2253</v>
      </c>
      <c r="D458" s="33" t="s">
        <v>401</v>
      </c>
      <c r="E458" s="34">
        <v>2.1602778434252898E-6</v>
      </c>
    </row>
    <row r="459" spans="1:5" hidden="1">
      <c r="A459" s="33" t="e">
        <f>COUNTIF([1]Regions!$D$3:$D$30,BillionEURNEWAGE!$B459)&gt;0</f>
        <v>#VALUE!</v>
      </c>
      <c r="B459" s="33" t="s">
        <v>2246</v>
      </c>
      <c r="C459" s="33" t="s">
        <v>2253</v>
      </c>
      <c r="D459" s="33" t="s">
        <v>404</v>
      </c>
      <c r="E459" s="33">
        <v>2.9803258052904101E-3</v>
      </c>
    </row>
    <row r="460" spans="1:5" hidden="1">
      <c r="A460" s="33" t="e">
        <f>COUNTIF([1]Regions!$D$3:$D$30,BillionEURNEWAGE!$B460)&gt;0</f>
        <v>#VALUE!</v>
      </c>
      <c r="B460" s="33" t="s">
        <v>2246</v>
      </c>
      <c r="C460" s="33" t="s">
        <v>2253</v>
      </c>
      <c r="D460" s="33" t="s">
        <v>406</v>
      </c>
      <c r="E460" s="33">
        <v>2.47611144832073E-4</v>
      </c>
    </row>
    <row r="461" spans="1:5" hidden="1">
      <c r="A461" s="33" t="e">
        <f>COUNTIF([1]Regions!$D$3:$D$30,BillionEURNEWAGE!$B461)&gt;0</f>
        <v>#VALUE!</v>
      </c>
      <c r="B461" s="33" t="s">
        <v>2246</v>
      </c>
      <c r="C461" s="33" t="s">
        <v>2253</v>
      </c>
      <c r="D461" s="33" t="s">
        <v>408</v>
      </c>
      <c r="E461" s="34">
        <v>1.1886750407838899E-5</v>
      </c>
    </row>
    <row r="462" spans="1:5" hidden="1">
      <c r="A462" s="33" t="e">
        <f>COUNTIF([1]Regions!$D$3:$D$30,BillionEURNEWAGE!$B462)&gt;0</f>
        <v>#VALUE!</v>
      </c>
      <c r="B462" s="33" t="s">
        <v>2246</v>
      </c>
      <c r="C462" s="33" t="s">
        <v>2253</v>
      </c>
      <c r="D462" s="33" t="s">
        <v>410</v>
      </c>
      <c r="E462" s="33">
        <v>7.8544822966189498E-4</v>
      </c>
    </row>
    <row r="463" spans="1:5" hidden="1">
      <c r="A463" s="33" t="e">
        <f>COUNTIF([1]Regions!$D$3:$D$30,BillionEURNEWAGE!$B463)&gt;0</f>
        <v>#VALUE!</v>
      </c>
      <c r="B463" s="33" t="s">
        <v>2246</v>
      </c>
      <c r="C463" s="33" t="s">
        <v>2253</v>
      </c>
      <c r="D463" s="33" t="s">
        <v>411</v>
      </c>
      <c r="E463" s="34">
        <v>1.40219723562207E-6</v>
      </c>
    </row>
    <row r="464" spans="1:5" hidden="1">
      <c r="A464" s="33" t="e">
        <f>COUNTIF([1]Regions!$D$3:$D$30,BillionEURNEWAGE!$B464)&gt;0</f>
        <v>#VALUE!</v>
      </c>
      <c r="B464" s="33" t="s">
        <v>2246</v>
      </c>
      <c r="C464" s="33" t="s">
        <v>2253</v>
      </c>
      <c r="D464" s="33" t="s">
        <v>413</v>
      </c>
      <c r="E464" s="34">
        <v>4.1816955245367E-6</v>
      </c>
    </row>
    <row r="465" spans="1:5" hidden="1">
      <c r="A465" s="33" t="e">
        <f>COUNTIF([1]Regions!$D$3:$D$30,BillionEURNEWAGE!$B465)&gt;0</f>
        <v>#VALUE!</v>
      </c>
      <c r="B465" s="33" t="s">
        <v>2246</v>
      </c>
      <c r="C465" s="33" t="s">
        <v>2253</v>
      </c>
      <c r="D465" s="33" t="s">
        <v>416</v>
      </c>
      <c r="E465" s="33">
        <v>4.1945906698766099E-2</v>
      </c>
    </row>
    <row r="466" spans="1:5" hidden="1">
      <c r="A466" s="33" t="e">
        <f>COUNTIF([1]Regions!$D$3:$D$30,BillionEURNEWAGE!$B466)&gt;0</f>
        <v>#VALUE!</v>
      </c>
      <c r="B466" s="33" t="s">
        <v>2246</v>
      </c>
      <c r="C466" s="33" t="s">
        <v>2253</v>
      </c>
      <c r="D466" s="33" t="s">
        <v>418</v>
      </c>
      <c r="E466" s="34">
        <v>7.4619606192479404E-6</v>
      </c>
    </row>
    <row r="467" spans="1:5" hidden="1">
      <c r="A467" s="33" t="e">
        <f>COUNTIF([1]Regions!$D$3:$D$30,BillionEURNEWAGE!$B467)&gt;0</f>
        <v>#VALUE!</v>
      </c>
      <c r="B467" s="33" t="s">
        <v>2246</v>
      </c>
      <c r="C467" s="33" t="s">
        <v>2253</v>
      </c>
      <c r="D467" s="33" t="s">
        <v>420</v>
      </c>
      <c r="E467" s="33">
        <v>0.104204170479785</v>
      </c>
    </row>
    <row r="468" spans="1:5" hidden="1">
      <c r="A468" s="33" t="e">
        <f>COUNTIF([1]Regions!$D$3:$D$30,BillionEURNEWAGE!$B468)&gt;0</f>
        <v>#VALUE!</v>
      </c>
      <c r="B468" s="33" t="s">
        <v>2246</v>
      </c>
      <c r="C468" s="33" t="s">
        <v>2253</v>
      </c>
      <c r="D468" s="33" t="s">
        <v>421</v>
      </c>
      <c r="E468" s="33">
        <v>0.24066246044612699</v>
      </c>
    </row>
    <row r="469" spans="1:5" hidden="1">
      <c r="A469" s="33" t="e">
        <f>COUNTIF([1]Regions!$D$3:$D$30,BillionEURNEWAGE!$B469)&gt;0</f>
        <v>#VALUE!</v>
      </c>
      <c r="B469" s="33" t="s">
        <v>2246</v>
      </c>
      <c r="C469" s="33" t="s">
        <v>2253</v>
      </c>
      <c r="D469" s="33" t="s">
        <v>423</v>
      </c>
      <c r="E469" s="33">
        <v>6.7060925914954994E-2</v>
      </c>
    </row>
    <row r="470" spans="1:5" hidden="1">
      <c r="A470" s="33" t="e">
        <f>COUNTIF([1]Regions!$D$3:$D$30,BillionEURNEWAGE!$B470)&gt;0</f>
        <v>#VALUE!</v>
      </c>
      <c r="B470" s="33" t="s">
        <v>2246</v>
      </c>
      <c r="C470" s="33" t="s">
        <v>2253</v>
      </c>
      <c r="D470" s="33" t="s">
        <v>425</v>
      </c>
      <c r="E470" s="33">
        <v>2.52347763079129E-2</v>
      </c>
    </row>
    <row r="471" spans="1:5" hidden="1">
      <c r="A471" s="33" t="e">
        <f>COUNTIF([1]Regions!$D$3:$D$30,BillionEURNEWAGE!$B471)&gt;0</f>
        <v>#VALUE!</v>
      </c>
      <c r="B471" s="33" t="s">
        <v>2246</v>
      </c>
      <c r="C471" s="33" t="s">
        <v>2253</v>
      </c>
      <c r="D471" s="33" t="s">
        <v>427</v>
      </c>
      <c r="E471" s="33">
        <v>7.13446242014464</v>
      </c>
    </row>
    <row r="472" spans="1:5" hidden="1">
      <c r="A472" s="33" t="e">
        <f>COUNTIF([1]Regions!$D$3:$D$30,BillionEURNEWAGE!$B472)&gt;0</f>
        <v>#VALUE!</v>
      </c>
      <c r="B472" s="33" t="s">
        <v>2246</v>
      </c>
      <c r="C472" s="33" t="s">
        <v>2253</v>
      </c>
      <c r="D472" s="33" t="s">
        <v>429</v>
      </c>
      <c r="E472" s="33">
        <v>3.9577176543524502E-2</v>
      </c>
    </row>
    <row r="473" spans="1:5" hidden="1">
      <c r="A473" s="33" t="e">
        <f>COUNTIF([1]Regions!$D$3:$D$30,BillionEURNEWAGE!$B473)&gt;0</f>
        <v>#VALUE!</v>
      </c>
      <c r="B473" s="33" t="s">
        <v>2246</v>
      </c>
      <c r="C473" s="33" t="s">
        <v>2253</v>
      </c>
      <c r="D473" s="33" t="s">
        <v>430</v>
      </c>
      <c r="E473" s="33">
        <v>180.102988460614</v>
      </c>
    </row>
    <row r="474" spans="1:5" hidden="1">
      <c r="A474" s="33" t="e">
        <f>COUNTIF([1]Regions!$D$3:$D$30,BillionEURNEWAGE!$B474)&gt;0</f>
        <v>#VALUE!</v>
      </c>
      <c r="B474" s="33" t="s">
        <v>2247</v>
      </c>
      <c r="C474" s="33" t="s">
        <v>2253</v>
      </c>
      <c r="D474" s="33" t="s">
        <v>401</v>
      </c>
      <c r="E474" s="34">
        <v>1.4348705724250599E-5</v>
      </c>
    </row>
    <row r="475" spans="1:5" hidden="1">
      <c r="A475" s="33" t="e">
        <f>COUNTIF([1]Regions!$D$3:$D$30,BillionEURNEWAGE!$B475)&gt;0</f>
        <v>#VALUE!</v>
      </c>
      <c r="B475" s="33" t="s">
        <v>2247</v>
      </c>
      <c r="C475" s="33" t="s">
        <v>2253</v>
      </c>
      <c r="D475" s="33" t="s">
        <v>404</v>
      </c>
      <c r="E475" s="33">
        <v>0.197153990379311</v>
      </c>
    </row>
    <row r="476" spans="1:5" hidden="1">
      <c r="A476" s="33" t="e">
        <f>COUNTIF([1]Regions!$D$3:$D$30,BillionEURNEWAGE!$B476)&gt;0</f>
        <v>#VALUE!</v>
      </c>
      <c r="B476" s="33" t="s">
        <v>2247</v>
      </c>
      <c r="C476" s="33" t="s">
        <v>2253</v>
      </c>
      <c r="D476" s="33" t="s">
        <v>406</v>
      </c>
      <c r="E476" s="33">
        <v>3.1535146144249099E-3</v>
      </c>
    </row>
    <row r="477" spans="1:5" hidden="1">
      <c r="A477" s="33" t="e">
        <f>COUNTIF([1]Regions!$D$3:$D$30,BillionEURNEWAGE!$B477)&gt;0</f>
        <v>#VALUE!</v>
      </c>
      <c r="B477" s="33" t="s">
        <v>2247</v>
      </c>
      <c r="C477" s="33" t="s">
        <v>2253</v>
      </c>
      <c r="D477" s="33" t="s">
        <v>408</v>
      </c>
      <c r="E477" s="34">
        <v>1.7650975473173502E-5</v>
      </c>
    </row>
    <row r="478" spans="1:5" hidden="1">
      <c r="A478" s="33" t="e">
        <f>COUNTIF([1]Regions!$D$3:$D$30,BillionEURNEWAGE!$B478)&gt;0</f>
        <v>#VALUE!</v>
      </c>
      <c r="B478" s="33" t="s">
        <v>2247</v>
      </c>
      <c r="C478" s="33" t="s">
        <v>2253</v>
      </c>
      <c r="D478" s="33" t="s">
        <v>410</v>
      </c>
      <c r="E478" s="33">
        <v>3.4835146704601701E-2</v>
      </c>
    </row>
    <row r="479" spans="1:5" hidden="1">
      <c r="A479" s="33" t="e">
        <f>COUNTIF([1]Regions!$D$3:$D$30,BillionEURNEWAGE!$B479)&gt;0</f>
        <v>#VALUE!</v>
      </c>
      <c r="B479" s="33" t="s">
        <v>2247</v>
      </c>
      <c r="C479" s="33" t="s">
        <v>2253</v>
      </c>
      <c r="D479" s="33" t="s">
        <v>411</v>
      </c>
      <c r="E479" s="34">
        <v>3.2258164675191802E-6</v>
      </c>
    </row>
    <row r="480" spans="1:5" hidden="1">
      <c r="A480" s="33" t="e">
        <f>COUNTIF([1]Regions!$D$3:$D$30,BillionEURNEWAGE!$B480)&gt;0</f>
        <v>#VALUE!</v>
      </c>
      <c r="B480" s="33" t="s">
        <v>2247</v>
      </c>
      <c r="C480" s="33" t="s">
        <v>2253</v>
      </c>
      <c r="D480" s="33" t="s">
        <v>413</v>
      </c>
      <c r="E480" s="34">
        <v>3.2326042208172303E-5</v>
      </c>
    </row>
    <row r="481" spans="1:5" hidden="1">
      <c r="A481" s="33" t="e">
        <f>COUNTIF([1]Regions!$D$3:$D$30,BillionEURNEWAGE!$B481)&gt;0</f>
        <v>#VALUE!</v>
      </c>
      <c r="B481" s="33" t="s">
        <v>2247</v>
      </c>
      <c r="C481" s="33" t="s">
        <v>2253</v>
      </c>
      <c r="D481" s="33" t="s">
        <v>416</v>
      </c>
      <c r="E481" s="33">
        <v>0.42402618097443201</v>
      </c>
    </row>
    <row r="482" spans="1:5" hidden="1">
      <c r="A482" s="33" t="e">
        <f>COUNTIF([1]Regions!$D$3:$D$30,BillionEURNEWAGE!$B482)&gt;0</f>
        <v>#VALUE!</v>
      </c>
      <c r="B482" s="33" t="s">
        <v>2247</v>
      </c>
      <c r="C482" s="33" t="s">
        <v>2253</v>
      </c>
      <c r="D482" s="33" t="s">
        <v>418</v>
      </c>
      <c r="E482" s="34">
        <v>1.12129907275365E-5</v>
      </c>
    </row>
    <row r="483" spans="1:5" hidden="1">
      <c r="A483" s="33" t="e">
        <f>COUNTIF([1]Regions!$D$3:$D$30,BillionEURNEWAGE!$B483)&gt;0</f>
        <v>#VALUE!</v>
      </c>
      <c r="B483" s="33" t="s">
        <v>2247</v>
      </c>
      <c r="C483" s="33" t="s">
        <v>2253</v>
      </c>
      <c r="D483" s="33" t="s">
        <v>420</v>
      </c>
      <c r="E483" s="33">
        <v>2.7230208080306701E-2</v>
      </c>
    </row>
    <row r="484" spans="1:5" hidden="1">
      <c r="A484" s="33" t="e">
        <f>COUNTIF([1]Regions!$D$3:$D$30,BillionEURNEWAGE!$B484)&gt;0</f>
        <v>#VALUE!</v>
      </c>
      <c r="B484" s="33" t="s">
        <v>2247</v>
      </c>
      <c r="C484" s="33" t="s">
        <v>2253</v>
      </c>
      <c r="D484" s="33" t="s">
        <v>421</v>
      </c>
      <c r="E484" s="33">
        <v>3.0166545291192199</v>
      </c>
    </row>
    <row r="485" spans="1:5" hidden="1">
      <c r="A485" s="33" t="e">
        <f>COUNTIF([1]Regions!$D$3:$D$30,BillionEURNEWAGE!$B485)&gt;0</f>
        <v>#VALUE!</v>
      </c>
      <c r="B485" s="33" t="s">
        <v>2247</v>
      </c>
      <c r="C485" s="33" t="s">
        <v>2253</v>
      </c>
      <c r="D485" s="33" t="s">
        <v>423</v>
      </c>
      <c r="E485" s="33">
        <v>0.48673815293389699</v>
      </c>
    </row>
    <row r="486" spans="1:5" hidden="1">
      <c r="A486" s="33" t="e">
        <f>COUNTIF([1]Regions!$D$3:$D$30,BillionEURNEWAGE!$B486)&gt;0</f>
        <v>#VALUE!</v>
      </c>
      <c r="B486" s="33" t="s">
        <v>2247</v>
      </c>
      <c r="C486" s="33" t="s">
        <v>2253</v>
      </c>
      <c r="D486" s="33" t="s">
        <v>425</v>
      </c>
      <c r="E486" s="33">
        <v>0.61023204307863899</v>
      </c>
    </row>
    <row r="487" spans="1:5" hidden="1">
      <c r="A487" s="33" t="e">
        <f>COUNTIF([1]Regions!$D$3:$D$30,BillionEURNEWAGE!$B487)&gt;0</f>
        <v>#VALUE!</v>
      </c>
      <c r="B487" s="33" t="s">
        <v>2247</v>
      </c>
      <c r="C487" s="33" t="s">
        <v>2253</v>
      </c>
      <c r="D487" s="33" t="s">
        <v>427</v>
      </c>
      <c r="E487" s="33">
        <v>10.7475786098443</v>
      </c>
    </row>
    <row r="488" spans="1:5" hidden="1">
      <c r="A488" s="33" t="e">
        <f>COUNTIF([1]Regions!$D$3:$D$30,BillionEURNEWAGE!$B488)&gt;0</f>
        <v>#VALUE!</v>
      </c>
      <c r="B488" s="33" t="s">
        <v>2247</v>
      </c>
      <c r="C488" s="33" t="s">
        <v>2253</v>
      </c>
      <c r="D488" s="33" t="s">
        <v>429</v>
      </c>
      <c r="E488" s="33">
        <v>0.35723339184981301</v>
      </c>
    </row>
    <row r="489" spans="1:5" hidden="1">
      <c r="A489" s="33" t="e">
        <f>COUNTIF([1]Regions!$D$3:$D$30,BillionEURNEWAGE!$B489)&gt;0</f>
        <v>#VALUE!</v>
      </c>
      <c r="B489" s="33" t="s">
        <v>2247</v>
      </c>
      <c r="C489" s="33" t="s">
        <v>2253</v>
      </c>
      <c r="D489" s="33" t="s">
        <v>430</v>
      </c>
      <c r="E489" s="33">
        <v>1661.7452145541199</v>
      </c>
    </row>
    <row r="490" spans="1:5" hidden="1">
      <c r="A490" s="33" t="e">
        <f>COUNTIF([1]Regions!$D$3:$D$30,BillionEURNEWAGE!$B490)&gt;0</f>
        <v>#VALUE!</v>
      </c>
      <c r="B490" s="33" t="s">
        <v>2248</v>
      </c>
      <c r="C490" s="33" t="s">
        <v>2253</v>
      </c>
      <c r="D490" s="33" t="s">
        <v>401</v>
      </c>
      <c r="E490" s="34">
        <v>2.0554042380327799E-6</v>
      </c>
    </row>
    <row r="491" spans="1:5" hidden="1">
      <c r="A491" s="33" t="e">
        <f>COUNTIF([1]Regions!$D$3:$D$30,BillionEURNEWAGE!$B491)&gt;0</f>
        <v>#VALUE!</v>
      </c>
      <c r="B491" s="33" t="s">
        <v>2248</v>
      </c>
      <c r="C491" s="33" t="s">
        <v>2253</v>
      </c>
      <c r="D491" s="33" t="s">
        <v>404</v>
      </c>
      <c r="E491" s="33">
        <v>2.0320466664558502E-3</v>
      </c>
    </row>
    <row r="492" spans="1:5" hidden="1">
      <c r="A492" s="33" t="e">
        <f>COUNTIF([1]Regions!$D$3:$D$30,BillionEURNEWAGE!$B492)&gt;0</f>
        <v>#VALUE!</v>
      </c>
      <c r="B492" s="33" t="s">
        <v>2248</v>
      </c>
      <c r="C492" s="33" t="s">
        <v>2253</v>
      </c>
      <c r="D492" s="33" t="s">
        <v>406</v>
      </c>
      <c r="E492" s="34">
        <v>3.5175698297394098E-5</v>
      </c>
    </row>
    <row r="493" spans="1:5" hidden="1">
      <c r="A493" s="33" t="e">
        <f>COUNTIF([1]Regions!$D$3:$D$30,BillionEURNEWAGE!$B493)&gt;0</f>
        <v>#VALUE!</v>
      </c>
      <c r="B493" s="33" t="s">
        <v>2248</v>
      </c>
      <c r="C493" s="33" t="s">
        <v>2253</v>
      </c>
      <c r="D493" s="33" t="s">
        <v>410</v>
      </c>
      <c r="E493" s="33">
        <v>4.2835682167496501E-4</v>
      </c>
    </row>
    <row r="494" spans="1:5" hidden="1">
      <c r="A494" s="33" t="e">
        <f>COUNTIF([1]Regions!$D$3:$D$30,BillionEURNEWAGE!$B494)&gt;0</f>
        <v>#VALUE!</v>
      </c>
      <c r="B494" s="33" t="s">
        <v>2248</v>
      </c>
      <c r="C494" s="33" t="s">
        <v>2253</v>
      </c>
      <c r="D494" s="33" t="s">
        <v>416</v>
      </c>
      <c r="E494" s="33">
        <v>6.4355075389812305E-2</v>
      </c>
    </row>
    <row r="495" spans="1:5" hidden="1">
      <c r="A495" s="33" t="e">
        <f>COUNTIF([1]Regions!$D$3:$D$30,BillionEURNEWAGE!$B495)&gt;0</f>
        <v>#VALUE!</v>
      </c>
      <c r="B495" s="33" t="s">
        <v>2248</v>
      </c>
      <c r="C495" s="33" t="s">
        <v>2253</v>
      </c>
      <c r="D495" s="33" t="s">
        <v>420</v>
      </c>
      <c r="E495" s="33">
        <v>5.1110690841643103E-3</v>
      </c>
    </row>
    <row r="496" spans="1:5" hidden="1">
      <c r="A496" s="33" t="e">
        <f>COUNTIF([1]Regions!$D$3:$D$30,BillionEURNEWAGE!$B496)&gt;0</f>
        <v>#VALUE!</v>
      </c>
      <c r="B496" s="33" t="s">
        <v>2248</v>
      </c>
      <c r="C496" s="33" t="s">
        <v>2253</v>
      </c>
      <c r="D496" s="33" t="s">
        <v>421</v>
      </c>
      <c r="E496" s="33">
        <v>0.127278780170031</v>
      </c>
    </row>
    <row r="497" spans="1:5" hidden="1">
      <c r="A497" s="33" t="e">
        <f>COUNTIF([1]Regions!$D$3:$D$30,BillionEURNEWAGE!$B497)&gt;0</f>
        <v>#VALUE!</v>
      </c>
      <c r="B497" s="33" t="s">
        <v>2248</v>
      </c>
      <c r="C497" s="33" t="s">
        <v>2253</v>
      </c>
      <c r="D497" s="33" t="s">
        <v>423</v>
      </c>
      <c r="E497" s="33">
        <v>0.112516487994124</v>
      </c>
    </row>
    <row r="498" spans="1:5" hidden="1">
      <c r="A498" s="33" t="e">
        <f>COUNTIF([1]Regions!$D$3:$D$30,BillionEURNEWAGE!$B498)&gt;0</f>
        <v>#VALUE!</v>
      </c>
      <c r="B498" s="33" t="s">
        <v>2248</v>
      </c>
      <c r="C498" s="33" t="s">
        <v>2253</v>
      </c>
      <c r="D498" s="33" t="s">
        <v>425</v>
      </c>
      <c r="E498" s="33">
        <v>4.4869058606522501E-4</v>
      </c>
    </row>
    <row r="499" spans="1:5" hidden="1">
      <c r="A499" s="33" t="e">
        <f>COUNTIF([1]Regions!$D$3:$D$30,BillionEURNEWAGE!$B499)&gt;0</f>
        <v>#VALUE!</v>
      </c>
      <c r="B499" s="33" t="s">
        <v>2248</v>
      </c>
      <c r="C499" s="33" t="s">
        <v>2253</v>
      </c>
      <c r="D499" s="33" t="s">
        <v>427</v>
      </c>
      <c r="E499" s="33">
        <v>4.6817677531238597E-2</v>
      </c>
    </row>
    <row r="500" spans="1:5" hidden="1">
      <c r="A500" s="33" t="e">
        <f>COUNTIF([1]Regions!$D$3:$D$30,BillionEURNEWAGE!$B500)&gt;0</f>
        <v>#VALUE!</v>
      </c>
      <c r="B500" s="33" t="s">
        <v>2248</v>
      </c>
      <c r="C500" s="33" t="s">
        <v>2253</v>
      </c>
      <c r="D500" s="33" t="s">
        <v>429</v>
      </c>
      <c r="E500" s="33">
        <v>1.5419640005869199E-2</v>
      </c>
    </row>
    <row r="501" spans="1:5" hidden="1">
      <c r="A501" s="33" t="e">
        <f>COUNTIF([1]Regions!$D$3:$D$30,BillionEURNEWAGE!$B501)&gt;0</f>
        <v>#VALUE!</v>
      </c>
      <c r="B501" s="33" t="s">
        <v>2248</v>
      </c>
      <c r="C501" s="33" t="s">
        <v>2253</v>
      </c>
      <c r="D501" s="33" t="s">
        <v>430</v>
      </c>
      <c r="E501" s="33">
        <v>364.10959114056402</v>
      </c>
    </row>
    <row r="502" spans="1:5" hidden="1">
      <c r="A502" s="33" t="e">
        <f>COUNTIF([1]Regions!$D$3:$D$30,BillionEURNEWAGE!$B502)&gt;0</f>
        <v>#VALUE!</v>
      </c>
      <c r="B502" s="33" t="s">
        <v>2249</v>
      </c>
      <c r="C502" s="33" t="s">
        <v>2253</v>
      </c>
      <c r="D502" s="33" t="s">
        <v>401</v>
      </c>
      <c r="E502" s="34">
        <v>7.3588287628571699E-6</v>
      </c>
    </row>
    <row r="503" spans="1:5" hidden="1">
      <c r="A503" s="33" t="e">
        <f>COUNTIF([1]Regions!$D$3:$D$30,BillionEURNEWAGE!$B503)&gt;0</f>
        <v>#VALUE!</v>
      </c>
      <c r="B503" s="33" t="s">
        <v>2249</v>
      </c>
      <c r="C503" s="33" t="s">
        <v>2253</v>
      </c>
      <c r="D503" s="33" t="s">
        <v>404</v>
      </c>
      <c r="E503" s="33">
        <v>2.8614272290042202E-2</v>
      </c>
    </row>
    <row r="504" spans="1:5" hidden="1">
      <c r="A504" s="33" t="e">
        <f>COUNTIF([1]Regions!$D$3:$D$30,BillionEURNEWAGE!$B504)&gt;0</f>
        <v>#VALUE!</v>
      </c>
      <c r="B504" s="33" t="s">
        <v>2249</v>
      </c>
      <c r="C504" s="33" t="s">
        <v>2253</v>
      </c>
      <c r="D504" s="33" t="s">
        <v>406</v>
      </c>
      <c r="E504" s="33">
        <v>1.7801230111170201E-3</v>
      </c>
    </row>
    <row r="505" spans="1:5" hidden="1">
      <c r="A505" s="33" t="e">
        <f>COUNTIF([1]Regions!$D$3:$D$30,BillionEURNEWAGE!$B505)&gt;0</f>
        <v>#VALUE!</v>
      </c>
      <c r="B505" s="33" t="s">
        <v>2249</v>
      </c>
      <c r="C505" s="33" t="s">
        <v>2253</v>
      </c>
      <c r="D505" s="33" t="s">
        <v>408</v>
      </c>
      <c r="E505" s="33">
        <v>4.62896807375013E-4</v>
      </c>
    </row>
    <row r="506" spans="1:5" hidden="1">
      <c r="A506" s="33" t="e">
        <f>COUNTIF([1]Regions!$D$3:$D$30,BillionEURNEWAGE!$B506)&gt;0</f>
        <v>#VALUE!</v>
      </c>
      <c r="B506" s="33" t="s">
        <v>2249</v>
      </c>
      <c r="C506" s="33" t="s">
        <v>2253</v>
      </c>
      <c r="D506" s="33" t="s">
        <v>410</v>
      </c>
      <c r="E506" s="33">
        <v>3.4114268515578298E-2</v>
      </c>
    </row>
    <row r="507" spans="1:5" hidden="1">
      <c r="A507" s="33" t="e">
        <f>COUNTIF([1]Regions!$D$3:$D$30,BillionEURNEWAGE!$B507)&gt;0</f>
        <v>#VALUE!</v>
      </c>
      <c r="B507" s="33" t="s">
        <v>2249</v>
      </c>
      <c r="C507" s="33" t="s">
        <v>2253</v>
      </c>
      <c r="D507" s="33" t="s">
        <v>411</v>
      </c>
      <c r="E507" s="34">
        <v>2.46268842668823E-5</v>
      </c>
    </row>
    <row r="508" spans="1:5" hidden="1">
      <c r="A508" s="33" t="e">
        <f>COUNTIF([1]Regions!$D$3:$D$30,BillionEURNEWAGE!$B508)&gt;0</f>
        <v>#VALUE!</v>
      </c>
      <c r="B508" s="33" t="s">
        <v>2249</v>
      </c>
      <c r="C508" s="33" t="s">
        <v>2253</v>
      </c>
      <c r="D508" s="33" t="s">
        <v>413</v>
      </c>
      <c r="E508" s="34">
        <v>3.08367324248934E-5</v>
      </c>
    </row>
    <row r="509" spans="1:5" hidden="1">
      <c r="A509" s="33" t="e">
        <f>COUNTIF([1]Regions!$D$3:$D$30,BillionEURNEWAGE!$B509)&gt;0</f>
        <v>#VALUE!</v>
      </c>
      <c r="B509" s="33" t="s">
        <v>2249</v>
      </c>
      <c r="C509" s="33" t="s">
        <v>2253</v>
      </c>
      <c r="D509" s="33" t="s">
        <v>416</v>
      </c>
      <c r="E509" s="33">
        <v>0.17251844138374001</v>
      </c>
    </row>
    <row r="510" spans="1:5" hidden="1">
      <c r="A510" s="33" t="e">
        <f>COUNTIF([1]Regions!$D$3:$D$30,BillionEURNEWAGE!$B510)&gt;0</f>
        <v>#VALUE!</v>
      </c>
      <c r="B510" s="33" t="s">
        <v>2249</v>
      </c>
      <c r="C510" s="33" t="s">
        <v>2253</v>
      </c>
      <c r="D510" s="33" t="s">
        <v>418</v>
      </c>
      <c r="E510" s="33">
        <v>1.5966880417048199E-3</v>
      </c>
    </row>
    <row r="511" spans="1:5" hidden="1">
      <c r="A511" s="33" t="e">
        <f>COUNTIF([1]Regions!$D$3:$D$30,BillionEURNEWAGE!$B511)&gt;0</f>
        <v>#VALUE!</v>
      </c>
      <c r="B511" s="33" t="s">
        <v>2249</v>
      </c>
      <c r="C511" s="33" t="s">
        <v>2253</v>
      </c>
      <c r="D511" s="33" t="s">
        <v>420</v>
      </c>
      <c r="E511" s="33">
        <v>0.116729675396187</v>
      </c>
    </row>
    <row r="512" spans="1:5" hidden="1">
      <c r="A512" s="33" t="e">
        <f>COUNTIF([1]Regions!$D$3:$D$30,BillionEURNEWAGE!$B512)&gt;0</f>
        <v>#VALUE!</v>
      </c>
      <c r="B512" s="33" t="s">
        <v>2249</v>
      </c>
      <c r="C512" s="33" t="s">
        <v>2253</v>
      </c>
      <c r="D512" s="33" t="s">
        <v>421</v>
      </c>
      <c r="E512" s="33">
        <v>0.25614777481283901</v>
      </c>
    </row>
    <row r="513" spans="1:5" hidden="1">
      <c r="A513" s="33" t="e">
        <f>COUNTIF([1]Regions!$D$3:$D$30,BillionEURNEWAGE!$B513)&gt;0</f>
        <v>#VALUE!</v>
      </c>
      <c r="B513" s="33" t="s">
        <v>2249</v>
      </c>
      <c r="C513" s="33" t="s">
        <v>2253</v>
      </c>
      <c r="D513" s="33" t="s">
        <v>423</v>
      </c>
      <c r="E513" s="33">
        <v>0.23534469003878</v>
      </c>
    </row>
    <row r="514" spans="1:5" hidden="1">
      <c r="A514" s="33" t="e">
        <f>COUNTIF([1]Regions!$D$3:$D$30,BillionEURNEWAGE!$B514)&gt;0</f>
        <v>#VALUE!</v>
      </c>
      <c r="B514" s="33" t="s">
        <v>2249</v>
      </c>
      <c r="C514" s="33" t="s">
        <v>2253</v>
      </c>
      <c r="D514" s="33" t="s">
        <v>425</v>
      </c>
      <c r="E514" s="33">
        <v>0.351164160820293</v>
      </c>
    </row>
    <row r="515" spans="1:5" hidden="1">
      <c r="A515" s="33" t="e">
        <f>COUNTIF([1]Regions!$D$3:$D$30,BillionEURNEWAGE!$B515)&gt;0</f>
        <v>#VALUE!</v>
      </c>
      <c r="B515" s="33" t="s">
        <v>2249</v>
      </c>
      <c r="C515" s="33" t="s">
        <v>2253</v>
      </c>
      <c r="D515" s="33" t="s">
        <v>427</v>
      </c>
      <c r="E515" s="33">
        <v>13.384439052501101</v>
      </c>
    </row>
    <row r="516" spans="1:5" hidden="1">
      <c r="A516" s="33" t="e">
        <f>COUNTIF([1]Regions!$D$3:$D$30,BillionEURNEWAGE!$B516)&gt;0</f>
        <v>#VALUE!</v>
      </c>
      <c r="B516" s="33" t="s">
        <v>2249</v>
      </c>
      <c r="C516" s="33" t="s">
        <v>2253</v>
      </c>
      <c r="D516" s="33" t="s">
        <v>429</v>
      </c>
      <c r="E516" s="33">
        <v>5.6812862054756101E-2</v>
      </c>
    </row>
    <row r="517" spans="1:5" hidden="1">
      <c r="A517" s="33" t="e">
        <f>COUNTIF([1]Regions!$D$3:$D$30,BillionEURNEWAGE!$B517)&gt;0</f>
        <v>#VALUE!</v>
      </c>
      <c r="B517" s="33" t="s">
        <v>2249</v>
      </c>
      <c r="C517" s="33" t="s">
        <v>2253</v>
      </c>
      <c r="D517" s="33" t="s">
        <v>430</v>
      </c>
      <c r="E517" s="33">
        <v>693.97606356216795</v>
      </c>
    </row>
    <row r="518" spans="1:5" hidden="1">
      <c r="A518" s="33" t="e">
        <f>COUNTIF([1]Regions!$D$3:$D$30,BillionEURNEWAGE!$B518)&gt;0</f>
        <v>#VALUE!</v>
      </c>
      <c r="B518" s="33" t="s">
        <v>2250</v>
      </c>
      <c r="C518" s="33" t="s">
        <v>2253</v>
      </c>
      <c r="D518" s="33" t="s">
        <v>404</v>
      </c>
      <c r="E518" s="33">
        <v>3.6805267292226002E-4</v>
      </c>
    </row>
    <row r="519" spans="1:5" hidden="1">
      <c r="A519" s="33" t="e">
        <f>COUNTIF([1]Regions!$D$3:$D$30,BillionEURNEWAGE!$B519)&gt;0</f>
        <v>#VALUE!</v>
      </c>
      <c r="B519" s="33" t="s">
        <v>2250</v>
      </c>
      <c r="C519" s="33" t="s">
        <v>2253</v>
      </c>
      <c r="D519" s="33" t="s">
        <v>406</v>
      </c>
      <c r="E519" s="34">
        <v>6.4068735877151004E-6</v>
      </c>
    </row>
    <row r="520" spans="1:5" hidden="1">
      <c r="A520" s="33" t="e">
        <f>COUNTIF([1]Regions!$D$3:$D$30,BillionEURNEWAGE!$B520)&gt;0</f>
        <v>#VALUE!</v>
      </c>
      <c r="B520" s="33" t="s">
        <v>2250</v>
      </c>
      <c r="C520" s="33" t="s">
        <v>2253</v>
      </c>
      <c r="D520" s="33" t="s">
        <v>410</v>
      </c>
      <c r="E520" s="34">
        <v>7.8630253820890004E-5</v>
      </c>
    </row>
    <row r="521" spans="1:5" hidden="1">
      <c r="A521" s="33" t="e">
        <f>COUNTIF([1]Regions!$D$3:$D$30,BillionEURNEWAGE!$B521)&gt;0</f>
        <v>#VALUE!</v>
      </c>
      <c r="B521" s="33" t="s">
        <v>2250</v>
      </c>
      <c r="C521" s="33" t="s">
        <v>2253</v>
      </c>
      <c r="D521" s="33" t="s">
        <v>413</v>
      </c>
      <c r="E521" s="34">
        <v>2.4562180162333E-6</v>
      </c>
    </row>
    <row r="522" spans="1:5" hidden="1">
      <c r="A522" s="33" t="e">
        <f>COUNTIF([1]Regions!$D$3:$D$30,BillionEURNEWAGE!$B522)&gt;0</f>
        <v>#VALUE!</v>
      </c>
      <c r="B522" s="33" t="s">
        <v>2250</v>
      </c>
      <c r="C522" s="33" t="s">
        <v>2253</v>
      </c>
      <c r="D522" s="33" t="s">
        <v>416</v>
      </c>
      <c r="E522" s="33">
        <v>1.15651587133538E-2</v>
      </c>
    </row>
    <row r="523" spans="1:5" hidden="1">
      <c r="A523" s="33" t="e">
        <f>COUNTIF([1]Regions!$D$3:$D$30,BillionEURNEWAGE!$B523)&gt;0</f>
        <v>#VALUE!</v>
      </c>
      <c r="B523" s="33" t="s">
        <v>2250</v>
      </c>
      <c r="C523" s="33" t="s">
        <v>2253</v>
      </c>
      <c r="D523" s="33" t="s">
        <v>420</v>
      </c>
      <c r="E523" s="33">
        <v>1.00017427468385E-3</v>
      </c>
    </row>
    <row r="524" spans="1:5" hidden="1">
      <c r="A524" s="33" t="e">
        <f>COUNTIF([1]Regions!$D$3:$D$30,BillionEURNEWAGE!$B524)&gt;0</f>
        <v>#VALUE!</v>
      </c>
      <c r="B524" s="33" t="s">
        <v>2250</v>
      </c>
      <c r="C524" s="33" t="s">
        <v>2253</v>
      </c>
      <c r="D524" s="33" t="s">
        <v>421</v>
      </c>
      <c r="E524" s="33">
        <v>2.2491464006231102E-2</v>
      </c>
    </row>
    <row r="525" spans="1:5" hidden="1">
      <c r="A525" s="33" t="e">
        <f>COUNTIF([1]Regions!$D$3:$D$30,BillionEURNEWAGE!$B525)&gt;0</f>
        <v>#VALUE!</v>
      </c>
      <c r="B525" s="33" t="s">
        <v>2250</v>
      </c>
      <c r="C525" s="33" t="s">
        <v>2253</v>
      </c>
      <c r="D525" s="33" t="s">
        <v>423</v>
      </c>
      <c r="E525" s="33">
        <v>1.9483291385442601E-2</v>
      </c>
    </row>
    <row r="526" spans="1:5" hidden="1">
      <c r="A526" s="33" t="e">
        <f>COUNTIF([1]Regions!$D$3:$D$30,BillionEURNEWAGE!$B526)&gt;0</f>
        <v>#VALUE!</v>
      </c>
      <c r="B526" s="33" t="s">
        <v>2250</v>
      </c>
      <c r="C526" s="33" t="s">
        <v>2253</v>
      </c>
      <c r="D526" s="33" t="s">
        <v>425</v>
      </c>
      <c r="E526" s="34">
        <v>7.8880841812521793E-5</v>
      </c>
    </row>
    <row r="527" spans="1:5" hidden="1">
      <c r="A527" s="33" t="e">
        <f>COUNTIF([1]Regions!$D$3:$D$30,BillionEURNEWAGE!$B527)&gt;0</f>
        <v>#VALUE!</v>
      </c>
      <c r="B527" s="33" t="s">
        <v>2250</v>
      </c>
      <c r="C527" s="33" t="s">
        <v>2253</v>
      </c>
      <c r="D527" s="33" t="s">
        <v>427</v>
      </c>
      <c r="E527" s="33">
        <v>8.3488358822636499E-3</v>
      </c>
    </row>
    <row r="528" spans="1:5" hidden="1">
      <c r="A528" s="33" t="e">
        <f>COUNTIF([1]Regions!$D$3:$D$30,BillionEURNEWAGE!$B528)&gt;0</f>
        <v>#VALUE!</v>
      </c>
      <c r="B528" s="33" t="s">
        <v>2250</v>
      </c>
      <c r="C528" s="33" t="s">
        <v>2253</v>
      </c>
      <c r="D528" s="33" t="s">
        <v>429</v>
      </c>
      <c r="E528" s="33">
        <v>2.6622694086508702E-3</v>
      </c>
    </row>
    <row r="529" spans="1:5" hidden="1">
      <c r="A529" s="33" t="e">
        <f>COUNTIF([1]Regions!$D$3:$D$30,BillionEURNEWAGE!$B529)&gt;0</f>
        <v>#VALUE!</v>
      </c>
      <c r="B529" s="33" t="s">
        <v>2250</v>
      </c>
      <c r="C529" s="33" t="s">
        <v>2253</v>
      </c>
      <c r="D529" s="33" t="s">
        <v>430</v>
      </c>
      <c r="E529" s="33">
        <v>62.891376354757803</v>
      </c>
    </row>
    <row r="530" spans="1:5" hidden="1">
      <c r="A530" s="33" t="e">
        <f>COUNTIF([1]Regions!$D$3:$D$30,BillionEURNEWAGE!$B530)&gt;0</f>
        <v>#VALUE!</v>
      </c>
      <c r="B530" s="33" t="s">
        <v>2251</v>
      </c>
      <c r="C530" s="33" t="s">
        <v>2253</v>
      </c>
      <c r="D530" s="33" t="s">
        <v>401</v>
      </c>
      <c r="E530" s="33">
        <v>2.7526423359968198E-3</v>
      </c>
    </row>
    <row r="531" spans="1:5" hidden="1">
      <c r="A531" s="33" t="e">
        <f>COUNTIF([1]Regions!$D$3:$D$30,BillionEURNEWAGE!$B531)&gt;0</f>
        <v>#VALUE!</v>
      </c>
      <c r="B531" s="33" t="s">
        <v>2251</v>
      </c>
      <c r="C531" s="33" t="s">
        <v>2253</v>
      </c>
      <c r="D531" s="33" t="s">
        <v>402</v>
      </c>
      <c r="E531" s="34">
        <v>4.0734484296115899E-5</v>
      </c>
    </row>
    <row r="532" spans="1:5" hidden="1">
      <c r="A532" s="33" t="e">
        <f>COUNTIF([1]Regions!$D$3:$D$30,BillionEURNEWAGE!$B532)&gt;0</f>
        <v>#VALUE!</v>
      </c>
      <c r="B532" s="33" t="s">
        <v>2251</v>
      </c>
      <c r="C532" s="33" t="s">
        <v>2253</v>
      </c>
      <c r="D532" s="33" t="s">
        <v>404</v>
      </c>
      <c r="E532" s="33">
        <v>0.56391751039173899</v>
      </c>
    </row>
    <row r="533" spans="1:5" hidden="1">
      <c r="A533" s="33" t="e">
        <f>COUNTIF([1]Regions!$D$3:$D$30,BillionEURNEWAGE!$B533)&gt;0</f>
        <v>#VALUE!</v>
      </c>
      <c r="B533" s="33" t="s">
        <v>2251</v>
      </c>
      <c r="C533" s="33" t="s">
        <v>2253</v>
      </c>
      <c r="D533" s="33" t="s">
        <v>406</v>
      </c>
      <c r="E533" s="33">
        <v>1.54579774060366</v>
      </c>
    </row>
    <row r="534" spans="1:5" hidden="1">
      <c r="A534" s="33" t="e">
        <f>COUNTIF([1]Regions!$D$3:$D$30,BillionEURNEWAGE!$B534)&gt;0</f>
        <v>#VALUE!</v>
      </c>
      <c r="B534" s="33" t="s">
        <v>2251</v>
      </c>
      <c r="C534" s="33" t="s">
        <v>2253</v>
      </c>
      <c r="D534" s="33" t="s">
        <v>408</v>
      </c>
      <c r="E534" s="33">
        <v>0.50389070813083603</v>
      </c>
    </row>
    <row r="535" spans="1:5" hidden="1">
      <c r="A535" s="33" t="e">
        <f>COUNTIF([1]Regions!$D$3:$D$30,BillionEURNEWAGE!$B535)&gt;0</f>
        <v>#VALUE!</v>
      </c>
      <c r="B535" s="33" t="s">
        <v>2251</v>
      </c>
      <c r="C535" s="33" t="s">
        <v>2253</v>
      </c>
      <c r="D535" s="33" t="s">
        <v>410</v>
      </c>
      <c r="E535" s="33">
        <v>9.7394097470106704</v>
      </c>
    </row>
    <row r="536" spans="1:5" hidden="1">
      <c r="A536" s="33" t="e">
        <f>COUNTIF([1]Regions!$D$3:$D$30,BillionEURNEWAGE!$B536)&gt;0</f>
        <v>#VALUE!</v>
      </c>
      <c r="B536" s="33" t="s">
        <v>2251</v>
      </c>
      <c r="C536" s="33" t="s">
        <v>2253</v>
      </c>
      <c r="D536" s="33" t="s">
        <v>411</v>
      </c>
      <c r="E536" s="33">
        <v>1.3132625145098601E-4</v>
      </c>
    </row>
    <row r="537" spans="1:5" hidden="1">
      <c r="A537" s="33" t="e">
        <f>COUNTIF([1]Regions!$D$3:$D$30,BillionEURNEWAGE!$B537)&gt;0</f>
        <v>#VALUE!</v>
      </c>
      <c r="B537" s="33" t="s">
        <v>2251</v>
      </c>
      <c r="C537" s="33" t="s">
        <v>2253</v>
      </c>
      <c r="D537" s="33" t="s">
        <v>413</v>
      </c>
      <c r="E537" s="34">
        <v>1.9413383702577301E-6</v>
      </c>
    </row>
    <row r="538" spans="1:5" hidden="1">
      <c r="A538" s="33" t="e">
        <f>COUNTIF([1]Regions!$D$3:$D$30,BillionEURNEWAGE!$B538)&gt;0</f>
        <v>#VALUE!</v>
      </c>
      <c r="B538" s="33" t="s">
        <v>2251</v>
      </c>
      <c r="C538" s="33" t="s">
        <v>2253</v>
      </c>
      <c r="D538" s="33" t="s">
        <v>414</v>
      </c>
      <c r="E538" s="34">
        <v>3.2915315273512198E-5</v>
      </c>
    </row>
    <row r="539" spans="1:5" hidden="1">
      <c r="A539" s="33" t="e">
        <f>COUNTIF([1]Regions!$D$3:$D$30,BillionEURNEWAGE!$B539)&gt;0</f>
        <v>#VALUE!</v>
      </c>
      <c r="B539" s="33" t="s">
        <v>2251</v>
      </c>
      <c r="C539" s="33" t="s">
        <v>2253</v>
      </c>
      <c r="D539" s="33" t="s">
        <v>416</v>
      </c>
      <c r="E539" s="33">
        <v>1.9144328653984199</v>
      </c>
    </row>
    <row r="540" spans="1:5" hidden="1">
      <c r="A540" s="33" t="e">
        <f>COUNTIF([1]Regions!$D$3:$D$30,BillionEURNEWAGE!$B540)&gt;0</f>
        <v>#VALUE!</v>
      </c>
      <c r="B540" s="33" t="s">
        <v>2251</v>
      </c>
      <c r="C540" s="33" t="s">
        <v>2253</v>
      </c>
      <c r="D540" s="33" t="s">
        <v>418</v>
      </c>
      <c r="E540" s="33">
        <v>1.50030320755306</v>
      </c>
    </row>
    <row r="541" spans="1:5" hidden="1">
      <c r="A541" s="33" t="e">
        <f>COUNTIF([1]Regions!$D$3:$D$30,BillionEURNEWAGE!$B541)&gt;0</f>
        <v>#VALUE!</v>
      </c>
      <c r="B541" s="33" t="s">
        <v>2251</v>
      </c>
      <c r="C541" s="33" t="s">
        <v>2253</v>
      </c>
      <c r="D541" s="33" t="s">
        <v>420</v>
      </c>
      <c r="E541" s="33">
        <v>3.5567022435683899</v>
      </c>
    </row>
    <row r="542" spans="1:5" hidden="1">
      <c r="A542" s="33" t="e">
        <f>COUNTIF([1]Regions!$D$3:$D$30,BillionEURNEWAGE!$B542)&gt;0</f>
        <v>#VALUE!</v>
      </c>
      <c r="B542" s="33" t="s">
        <v>2251</v>
      </c>
      <c r="C542" s="33" t="s">
        <v>2253</v>
      </c>
      <c r="D542" s="33" t="s">
        <v>421</v>
      </c>
      <c r="E542" s="33">
        <v>0.58526014496345002</v>
      </c>
    </row>
    <row r="543" spans="1:5" hidden="1">
      <c r="A543" s="33" t="e">
        <f>COUNTIF([1]Regions!$D$3:$D$30,BillionEURNEWAGE!$B543)&gt;0</f>
        <v>#VALUE!</v>
      </c>
      <c r="B543" s="33" t="s">
        <v>2251</v>
      </c>
      <c r="C543" s="33" t="s">
        <v>2253</v>
      </c>
      <c r="D543" s="33" t="s">
        <v>423</v>
      </c>
      <c r="E543" s="33">
        <v>4.2750569949066701</v>
      </c>
    </row>
    <row r="544" spans="1:5" hidden="1">
      <c r="A544" s="33" t="e">
        <f>COUNTIF([1]Regions!$D$3:$D$30,BillionEURNEWAGE!$B544)&gt;0</f>
        <v>#VALUE!</v>
      </c>
      <c r="B544" s="33" t="s">
        <v>2251</v>
      </c>
      <c r="C544" s="33" t="s">
        <v>2253</v>
      </c>
      <c r="D544" s="33" t="s">
        <v>425</v>
      </c>
      <c r="E544" s="33">
        <v>0.39057081951635098</v>
      </c>
    </row>
    <row r="545" spans="1:5" hidden="1">
      <c r="A545" s="33" t="e">
        <f>COUNTIF([1]Regions!$D$3:$D$30,BillionEURNEWAGE!$B545)&gt;0</f>
        <v>#VALUE!</v>
      </c>
      <c r="B545" s="33" t="s">
        <v>2251</v>
      </c>
      <c r="C545" s="33" t="s">
        <v>2253</v>
      </c>
      <c r="D545" s="33" t="s">
        <v>427</v>
      </c>
      <c r="E545" s="33">
        <v>1.4417902272079901</v>
      </c>
    </row>
    <row r="546" spans="1:5" hidden="1">
      <c r="A546" s="33" t="e">
        <f>COUNTIF([1]Regions!$D$3:$D$30,BillionEURNEWAGE!$B546)&gt;0</f>
        <v>#VALUE!</v>
      </c>
      <c r="B546" s="33" t="s">
        <v>2251</v>
      </c>
      <c r="C546" s="33" t="s">
        <v>2253</v>
      </c>
      <c r="D546" s="33" t="s">
        <v>429</v>
      </c>
      <c r="E546" s="33">
        <v>0.16278767749770301</v>
      </c>
    </row>
    <row r="547" spans="1:5" hidden="1">
      <c r="A547" s="33" t="e">
        <f>COUNTIF([1]Regions!$D$3:$D$30,BillionEURNEWAGE!$B547)&gt;0</f>
        <v>#VALUE!</v>
      </c>
      <c r="B547" s="33" t="s">
        <v>2251</v>
      </c>
      <c r="C547" s="33" t="s">
        <v>2253</v>
      </c>
      <c r="D547" s="33" t="s">
        <v>430</v>
      </c>
      <c r="E547" s="33">
        <v>327.32669937915</v>
      </c>
    </row>
    <row r="548" spans="1:5" hidden="1">
      <c r="A548" s="33" t="e">
        <f>COUNTIF([1]Regions!$D$3:$D$30,BillionEURNEWAGE!$B548)&gt;0</f>
        <v>#VALUE!</v>
      </c>
      <c r="B548" s="33" t="s">
        <v>2252</v>
      </c>
      <c r="C548" s="33" t="s">
        <v>2253</v>
      </c>
      <c r="D548" s="33" t="s">
        <v>401</v>
      </c>
      <c r="E548" s="33">
        <v>1.36499399546544E-3</v>
      </c>
    </row>
    <row r="549" spans="1:5" hidden="1">
      <c r="A549" s="33" t="e">
        <f>COUNTIF([1]Regions!$D$3:$D$30,BillionEURNEWAGE!$B549)&gt;0</f>
        <v>#VALUE!</v>
      </c>
      <c r="B549" s="33" t="s">
        <v>2252</v>
      </c>
      <c r="C549" s="33" t="s">
        <v>2253</v>
      </c>
      <c r="D549" s="33" t="s">
        <v>402</v>
      </c>
      <c r="E549" s="33">
        <v>5.7737947710549502E-4</v>
      </c>
    </row>
    <row r="550" spans="1:5" hidden="1">
      <c r="A550" s="33" t="e">
        <f>COUNTIF([1]Regions!$D$3:$D$30,BillionEURNEWAGE!$B550)&gt;0</f>
        <v>#VALUE!</v>
      </c>
      <c r="B550" s="33" t="s">
        <v>2252</v>
      </c>
      <c r="C550" s="33" t="s">
        <v>2253</v>
      </c>
      <c r="D550" s="33" t="s">
        <v>404</v>
      </c>
      <c r="E550" s="33">
        <v>1.0547491183154101</v>
      </c>
    </row>
    <row r="551" spans="1:5" hidden="1">
      <c r="A551" s="33" t="e">
        <f>COUNTIF([1]Regions!$D$3:$D$30,BillionEURNEWAGE!$B551)&gt;0</f>
        <v>#VALUE!</v>
      </c>
      <c r="B551" s="33" t="s">
        <v>2252</v>
      </c>
      <c r="C551" s="33" t="s">
        <v>2253</v>
      </c>
      <c r="D551" s="33" t="s">
        <v>406</v>
      </c>
      <c r="E551" s="33">
        <v>0.15716370681573899</v>
      </c>
    </row>
    <row r="552" spans="1:5" hidden="1">
      <c r="A552" s="33" t="e">
        <f>COUNTIF([1]Regions!$D$3:$D$30,BillionEURNEWAGE!$B552)&gt;0</f>
        <v>#VALUE!</v>
      </c>
      <c r="B552" s="33" t="s">
        <v>2252</v>
      </c>
      <c r="C552" s="33" t="s">
        <v>2253</v>
      </c>
      <c r="D552" s="33" t="s">
        <v>408</v>
      </c>
      <c r="E552" s="34">
        <v>6.9659486965934202E-5</v>
      </c>
    </row>
    <row r="553" spans="1:5" hidden="1">
      <c r="A553" s="33" t="e">
        <f>COUNTIF([1]Regions!$D$3:$D$30,BillionEURNEWAGE!$B553)&gt;0</f>
        <v>#VALUE!</v>
      </c>
      <c r="B553" s="33" t="s">
        <v>2252</v>
      </c>
      <c r="C553" s="33" t="s">
        <v>2253</v>
      </c>
      <c r="D553" s="33" t="s">
        <v>410</v>
      </c>
      <c r="E553" s="33">
        <v>0.43907892003308002</v>
      </c>
    </row>
    <row r="554" spans="1:5" hidden="1">
      <c r="A554" s="33" t="e">
        <f>COUNTIF([1]Regions!$D$3:$D$30,BillionEURNEWAGE!$B554)&gt;0</f>
        <v>#VALUE!</v>
      </c>
      <c r="B554" s="33" t="s">
        <v>2252</v>
      </c>
      <c r="C554" s="33" t="s">
        <v>2253</v>
      </c>
      <c r="D554" s="33" t="s">
        <v>411</v>
      </c>
      <c r="E554" s="33">
        <v>7.7467041941161501E-4</v>
      </c>
    </row>
    <row r="555" spans="1:5" hidden="1">
      <c r="A555" s="33" t="e">
        <f>COUNTIF([1]Regions!$D$3:$D$30,BillionEURNEWAGE!$B555)&gt;0</f>
        <v>#VALUE!</v>
      </c>
      <c r="B555" s="33" t="s">
        <v>2252</v>
      </c>
      <c r="C555" s="33" t="s">
        <v>2253</v>
      </c>
      <c r="D555" s="33" t="s">
        <v>413</v>
      </c>
      <c r="E555" s="33">
        <v>1.17675343578128E-4</v>
      </c>
    </row>
    <row r="556" spans="1:5" hidden="1">
      <c r="A556" s="33" t="e">
        <f>COUNTIF([1]Regions!$D$3:$D$30,BillionEURNEWAGE!$B556)&gt;0</f>
        <v>#VALUE!</v>
      </c>
      <c r="B556" s="33" t="s">
        <v>2252</v>
      </c>
      <c r="C556" s="33" t="s">
        <v>2253</v>
      </c>
      <c r="D556" s="33" t="s">
        <v>414</v>
      </c>
      <c r="E556" s="34">
        <v>1.10500412281319E-5</v>
      </c>
    </row>
    <row r="557" spans="1:5" hidden="1">
      <c r="A557" s="33" t="e">
        <f>COUNTIF([1]Regions!$D$3:$D$30,BillionEURNEWAGE!$B557)&gt;0</f>
        <v>#VALUE!</v>
      </c>
      <c r="B557" s="33" t="s">
        <v>2252</v>
      </c>
      <c r="C557" s="33" t="s">
        <v>2253</v>
      </c>
      <c r="D557" s="33" t="s">
        <v>416</v>
      </c>
      <c r="E557" s="33">
        <v>1.97941407265258</v>
      </c>
    </row>
    <row r="558" spans="1:5" hidden="1">
      <c r="A558" s="33" t="e">
        <f>COUNTIF([1]Regions!$D$3:$D$30,BillionEURNEWAGE!$B558)&gt;0</f>
        <v>#VALUE!</v>
      </c>
      <c r="B558" s="33" t="s">
        <v>2252</v>
      </c>
      <c r="C558" s="33" t="s">
        <v>2253</v>
      </c>
      <c r="D558" s="33" t="s">
        <v>418</v>
      </c>
      <c r="E558" s="33">
        <v>6.25851447625415E-4</v>
      </c>
    </row>
    <row r="559" spans="1:5" hidden="1">
      <c r="A559" s="33" t="e">
        <f>COUNTIF([1]Regions!$D$3:$D$30,BillionEURNEWAGE!$B559)&gt;0</f>
        <v>#VALUE!</v>
      </c>
      <c r="B559" s="33" t="s">
        <v>2252</v>
      </c>
      <c r="C559" s="33" t="s">
        <v>2253</v>
      </c>
      <c r="D559" s="33" t="s">
        <v>420</v>
      </c>
      <c r="E559" s="33">
        <v>0.49278145550307501</v>
      </c>
    </row>
    <row r="560" spans="1:5" hidden="1">
      <c r="A560" s="33" t="e">
        <f>COUNTIF([1]Regions!$D$3:$D$30,BillionEURNEWAGE!$B560)&gt;0</f>
        <v>#VALUE!</v>
      </c>
      <c r="B560" s="33" t="s">
        <v>2252</v>
      </c>
      <c r="C560" s="33" t="s">
        <v>2253</v>
      </c>
      <c r="D560" s="33" t="s">
        <v>421</v>
      </c>
      <c r="E560" s="33">
        <v>2.48041807114326</v>
      </c>
    </row>
    <row r="561" spans="1:5" hidden="1">
      <c r="A561" s="33" t="e">
        <f>COUNTIF([1]Regions!$D$3:$D$30,BillionEURNEWAGE!$B561)&gt;0</f>
        <v>#VALUE!</v>
      </c>
      <c r="B561" s="33" t="s">
        <v>2252</v>
      </c>
      <c r="C561" s="33" t="s">
        <v>2253</v>
      </c>
      <c r="D561" s="33" t="s">
        <v>423</v>
      </c>
      <c r="E561" s="33">
        <v>1.7160784053784901</v>
      </c>
    </row>
    <row r="562" spans="1:5" hidden="1">
      <c r="A562" s="33" t="e">
        <f>COUNTIF([1]Regions!$D$3:$D$30,BillionEURNEWAGE!$B562)&gt;0</f>
        <v>#VALUE!</v>
      </c>
      <c r="B562" s="33" t="s">
        <v>2252</v>
      </c>
      <c r="C562" s="33" t="s">
        <v>2253</v>
      </c>
      <c r="D562" s="33" t="s">
        <v>425</v>
      </c>
      <c r="E562" s="33">
        <v>1.3978741113628299</v>
      </c>
    </row>
    <row r="563" spans="1:5" hidden="1">
      <c r="A563" s="33" t="e">
        <f>COUNTIF([1]Regions!$D$3:$D$30,BillionEURNEWAGE!$B563)&gt;0</f>
        <v>#VALUE!</v>
      </c>
      <c r="B563" s="33" t="s">
        <v>2252</v>
      </c>
      <c r="C563" s="33" t="s">
        <v>2253</v>
      </c>
      <c r="D563" s="33" t="s">
        <v>427</v>
      </c>
      <c r="E563" s="33">
        <v>6.1018649817522403</v>
      </c>
    </row>
    <row r="564" spans="1:5" hidden="1">
      <c r="A564" s="33" t="e">
        <f>COUNTIF([1]Regions!$D$3:$D$30,BillionEURNEWAGE!$B564)&gt;0</f>
        <v>#VALUE!</v>
      </c>
      <c r="B564" s="33" t="s">
        <v>2252</v>
      </c>
      <c r="C564" s="33" t="s">
        <v>2253</v>
      </c>
      <c r="D564" s="33" t="s">
        <v>429</v>
      </c>
      <c r="E564" s="33">
        <v>1.69774979196299</v>
      </c>
    </row>
    <row r="565" spans="1:5" hidden="1">
      <c r="A565" s="33" t="e">
        <f>COUNTIF([1]Regions!$D$3:$D$30,BillionEURNEWAGE!$B565)&gt;0</f>
        <v>#VALUE!</v>
      </c>
      <c r="B565" s="33" t="s">
        <v>2252</v>
      </c>
      <c r="C565" s="33" t="s">
        <v>2253</v>
      </c>
      <c r="D565" s="33" t="s">
        <v>430</v>
      </c>
      <c r="E565" s="33">
        <v>675.90882014661202</v>
      </c>
    </row>
    <row r="566" spans="1:5">
      <c r="A566" s="33" t="e">
        <f>COUNTIF([1]Regions!$D$3:$D$30,BillionEURNEWAGE!$B566)&gt;0</f>
        <v>#VALUE!</v>
      </c>
      <c r="B566" s="33" t="s">
        <v>2235</v>
      </c>
      <c r="C566" s="33" t="s">
        <v>432</v>
      </c>
      <c r="D566" s="33" t="s">
        <v>401</v>
      </c>
      <c r="E566" s="33">
        <v>2.3209272968813002</v>
      </c>
    </row>
    <row r="567" spans="1:5">
      <c r="A567" s="33" t="e">
        <f>COUNTIF([1]Regions!$D$3:$D$30,BillionEURNEWAGE!$B567)&gt;0</f>
        <v>#VALUE!</v>
      </c>
      <c r="B567" s="33" t="s">
        <v>2235</v>
      </c>
      <c r="C567" s="33" t="s">
        <v>432</v>
      </c>
      <c r="D567" s="33" t="s">
        <v>402</v>
      </c>
      <c r="E567" s="33">
        <v>2.0365708647198399E-2</v>
      </c>
    </row>
    <row r="568" spans="1:5">
      <c r="A568" s="33" t="e">
        <f>COUNTIF([1]Regions!$D$3:$D$30,BillionEURNEWAGE!$B568)&gt;0</f>
        <v>#VALUE!</v>
      </c>
      <c r="B568" s="33" t="s">
        <v>2235</v>
      </c>
      <c r="C568" s="33" t="s">
        <v>432</v>
      </c>
      <c r="D568" s="33" t="s">
        <v>404</v>
      </c>
      <c r="E568" s="33">
        <v>0.60402689500913498</v>
      </c>
    </row>
    <row r="569" spans="1:5">
      <c r="A569" s="33" t="e">
        <f>COUNTIF([1]Regions!$D$3:$D$30,BillionEURNEWAGE!$B569)&gt;0</f>
        <v>#VALUE!</v>
      </c>
      <c r="B569" s="33" t="s">
        <v>2235</v>
      </c>
      <c r="C569" s="33" t="s">
        <v>432</v>
      </c>
      <c r="D569" s="33" t="s">
        <v>406</v>
      </c>
      <c r="E569" s="33">
        <v>0.18042082696277401</v>
      </c>
    </row>
    <row r="570" spans="1:5">
      <c r="A570" s="33" t="e">
        <f>COUNTIF([1]Regions!$D$3:$D$30,BillionEURNEWAGE!$B570)&gt;0</f>
        <v>#VALUE!</v>
      </c>
      <c r="B570" s="33" t="s">
        <v>2235</v>
      </c>
      <c r="C570" s="33" t="s">
        <v>432</v>
      </c>
      <c r="D570" s="33" t="s">
        <v>408</v>
      </c>
      <c r="E570" s="33">
        <v>1.37949785573813E-3</v>
      </c>
    </row>
    <row r="571" spans="1:5">
      <c r="A571" s="33" t="e">
        <f>COUNTIF([1]Regions!$D$3:$D$30,BillionEURNEWAGE!$B571)&gt;0</f>
        <v>#VALUE!</v>
      </c>
      <c r="B571" s="33" t="s">
        <v>2235</v>
      </c>
      <c r="C571" s="33" t="s">
        <v>432</v>
      </c>
      <c r="D571" s="33" t="s">
        <v>410</v>
      </c>
      <c r="E571" s="33">
        <v>0.77749771026487702</v>
      </c>
    </row>
    <row r="572" spans="1:5">
      <c r="A572" s="33" t="e">
        <f>COUNTIF([1]Regions!$D$3:$D$30,BillionEURNEWAGE!$B572)&gt;0</f>
        <v>#VALUE!</v>
      </c>
      <c r="B572" s="33" t="s">
        <v>2235</v>
      </c>
      <c r="C572" s="33" t="s">
        <v>432</v>
      </c>
      <c r="D572" s="33" t="s">
        <v>411</v>
      </c>
      <c r="E572" s="33">
        <v>6.1529571320812999E-2</v>
      </c>
    </row>
    <row r="573" spans="1:5">
      <c r="A573" s="33" t="e">
        <f>COUNTIF([1]Regions!$D$3:$D$30,BillionEURNEWAGE!$B573)&gt;0</f>
        <v>#VALUE!</v>
      </c>
      <c r="B573" s="33" t="s">
        <v>2235</v>
      </c>
      <c r="C573" s="33" t="s">
        <v>432</v>
      </c>
      <c r="D573" s="33" t="s">
        <v>413</v>
      </c>
      <c r="E573" s="33">
        <v>0.11862639448338699</v>
      </c>
    </row>
    <row r="574" spans="1:5">
      <c r="A574" s="33" t="e">
        <f>COUNTIF([1]Regions!$D$3:$D$30,BillionEURNEWAGE!$B574)&gt;0</f>
        <v>#VALUE!</v>
      </c>
      <c r="B574" s="33" t="s">
        <v>2235</v>
      </c>
      <c r="C574" s="33" t="s">
        <v>432</v>
      </c>
      <c r="D574" s="33" t="s">
        <v>414</v>
      </c>
      <c r="E574" s="34">
        <v>6.4352248943814305E-7</v>
      </c>
    </row>
    <row r="575" spans="1:5">
      <c r="A575" s="33" t="e">
        <f>COUNTIF([1]Regions!$D$3:$D$30,BillionEURNEWAGE!$B575)&gt;0</f>
        <v>#VALUE!</v>
      </c>
      <c r="B575" s="33" t="s">
        <v>2235</v>
      </c>
      <c r="C575" s="33" t="s">
        <v>432</v>
      </c>
      <c r="D575" s="33" t="s">
        <v>416</v>
      </c>
      <c r="E575" s="33">
        <v>1.6488267488497801</v>
      </c>
    </row>
    <row r="576" spans="1:5">
      <c r="A576" s="33" t="e">
        <f>COUNTIF([1]Regions!$D$3:$D$30,BillionEURNEWAGE!$B576)&gt;0</f>
        <v>#VALUE!</v>
      </c>
      <c r="B576" s="33" t="s">
        <v>2235</v>
      </c>
      <c r="C576" s="33" t="s">
        <v>432</v>
      </c>
      <c r="D576" s="33" t="s">
        <v>418</v>
      </c>
      <c r="E576" s="33">
        <v>1.2553522666965101E-3</v>
      </c>
    </row>
    <row r="577" spans="1:5">
      <c r="A577" s="33" t="e">
        <f>COUNTIF([1]Regions!$D$3:$D$30,BillionEURNEWAGE!$B577)&gt;0</f>
        <v>#VALUE!</v>
      </c>
      <c r="B577" s="33" t="s">
        <v>2235</v>
      </c>
      <c r="C577" s="33" t="s">
        <v>432</v>
      </c>
      <c r="D577" s="33" t="s">
        <v>420</v>
      </c>
      <c r="E577" s="33">
        <v>3.6871058351154198</v>
      </c>
    </row>
    <row r="578" spans="1:5">
      <c r="A578" s="33" t="e">
        <f>COUNTIF([1]Regions!$D$3:$D$30,BillionEURNEWAGE!$B578)&gt;0</f>
        <v>#VALUE!</v>
      </c>
      <c r="B578" s="33" t="s">
        <v>2235</v>
      </c>
      <c r="C578" s="33" t="s">
        <v>432</v>
      </c>
      <c r="D578" s="33" t="s">
        <v>421</v>
      </c>
      <c r="E578" s="33">
        <v>9.2259088153776396</v>
      </c>
    </row>
    <row r="579" spans="1:5">
      <c r="A579" s="33" t="e">
        <f>COUNTIF([1]Regions!$D$3:$D$30,BillionEURNEWAGE!$B579)&gt;0</f>
        <v>#VALUE!</v>
      </c>
      <c r="B579" s="33" t="s">
        <v>2235</v>
      </c>
      <c r="C579" s="33" t="s">
        <v>432</v>
      </c>
      <c r="D579" s="33" t="s">
        <v>423</v>
      </c>
      <c r="E579" s="33">
        <v>3.8963044829479601</v>
      </c>
    </row>
    <row r="580" spans="1:5">
      <c r="A580" s="33" t="e">
        <f>COUNTIF([1]Regions!$D$3:$D$30,BillionEURNEWAGE!$B580)&gt;0</f>
        <v>#VALUE!</v>
      </c>
      <c r="B580" s="33" t="s">
        <v>2235</v>
      </c>
      <c r="C580" s="33" t="s">
        <v>432</v>
      </c>
      <c r="D580" s="33" t="s">
        <v>425</v>
      </c>
      <c r="E580" s="33">
        <v>1.23122352128594E-3</v>
      </c>
    </row>
    <row r="581" spans="1:5">
      <c r="A581" s="33" t="e">
        <f>COUNTIF([1]Regions!$D$3:$D$30,BillionEURNEWAGE!$B581)&gt;0</f>
        <v>#VALUE!</v>
      </c>
      <c r="B581" s="33" t="s">
        <v>2235</v>
      </c>
      <c r="C581" s="33" t="s">
        <v>432</v>
      </c>
      <c r="D581" s="33" t="s">
        <v>427</v>
      </c>
      <c r="E581" s="33">
        <v>5.4288036096401404</v>
      </c>
    </row>
    <row r="582" spans="1:5">
      <c r="A582" s="33" t="e">
        <f>COUNTIF([1]Regions!$D$3:$D$30,BillionEURNEWAGE!$B582)&gt;0</f>
        <v>#VALUE!</v>
      </c>
      <c r="B582" s="33" t="s">
        <v>2235</v>
      </c>
      <c r="C582" s="33" t="s">
        <v>432</v>
      </c>
      <c r="D582" s="33" t="s">
        <v>429</v>
      </c>
      <c r="E582" s="33">
        <v>4.0609889462120501</v>
      </c>
    </row>
    <row r="583" spans="1:5">
      <c r="A583" s="33" t="e">
        <f>COUNTIF([1]Regions!$D$3:$D$30,BillionEURNEWAGE!$B583)&gt;0</f>
        <v>#VALUE!</v>
      </c>
      <c r="B583" s="33" t="s">
        <v>2235</v>
      </c>
      <c r="C583" s="33" t="s">
        <v>432</v>
      </c>
      <c r="D583" s="33" t="s">
        <v>430</v>
      </c>
      <c r="E583" s="33">
        <v>6.43569057090399</v>
      </c>
    </row>
    <row r="584" spans="1:5">
      <c r="A584" s="33" t="e">
        <f>COUNTIF([1]Regions!$D$3:$D$30,BillionEURNEWAGE!$B584)&gt;0</f>
        <v>#VALUE!</v>
      </c>
      <c r="B584" s="33" t="s">
        <v>2236</v>
      </c>
      <c r="C584" s="33" t="s">
        <v>432</v>
      </c>
      <c r="D584" s="33" t="s">
        <v>401</v>
      </c>
      <c r="E584" s="33">
        <v>13.817164591871199</v>
      </c>
    </row>
    <row r="585" spans="1:5">
      <c r="A585" s="33" t="e">
        <f>COUNTIF([1]Regions!$D$3:$D$30,BillionEURNEWAGE!$B585)&gt;0</f>
        <v>#VALUE!</v>
      </c>
      <c r="B585" s="33" t="s">
        <v>2236</v>
      </c>
      <c r="C585" s="33" t="s">
        <v>432</v>
      </c>
      <c r="D585" s="33" t="s">
        <v>402</v>
      </c>
      <c r="E585" s="33">
        <v>0.203577031154691</v>
      </c>
    </row>
    <row r="586" spans="1:5">
      <c r="A586" s="33" t="e">
        <f>COUNTIF([1]Regions!$D$3:$D$30,BillionEURNEWAGE!$B586)&gt;0</f>
        <v>#VALUE!</v>
      </c>
      <c r="B586" s="33" t="s">
        <v>2236</v>
      </c>
      <c r="C586" s="33" t="s">
        <v>432</v>
      </c>
      <c r="D586" s="33" t="s">
        <v>404</v>
      </c>
      <c r="E586" s="33">
        <v>2.9054129914066702</v>
      </c>
    </row>
    <row r="587" spans="1:5">
      <c r="A587" s="33" t="e">
        <f>COUNTIF([1]Regions!$D$3:$D$30,BillionEURNEWAGE!$B587)&gt;0</f>
        <v>#VALUE!</v>
      </c>
      <c r="B587" s="33" t="s">
        <v>2236</v>
      </c>
      <c r="C587" s="33" t="s">
        <v>432</v>
      </c>
      <c r="D587" s="33" t="s">
        <v>406</v>
      </c>
      <c r="E587" s="33">
        <v>2.77892044619959</v>
      </c>
    </row>
    <row r="588" spans="1:5">
      <c r="A588" s="33" t="e">
        <f>COUNTIF([1]Regions!$D$3:$D$30,BillionEURNEWAGE!$B588)&gt;0</f>
        <v>#VALUE!</v>
      </c>
      <c r="B588" s="33" t="s">
        <v>2236</v>
      </c>
      <c r="C588" s="33" t="s">
        <v>432</v>
      </c>
      <c r="D588" s="33" t="s">
        <v>408</v>
      </c>
      <c r="E588" s="33">
        <v>0.101194379313318</v>
      </c>
    </row>
    <row r="589" spans="1:5">
      <c r="A589" s="33" t="e">
        <f>COUNTIF([1]Regions!$D$3:$D$30,BillionEURNEWAGE!$B589)&gt;0</f>
        <v>#VALUE!</v>
      </c>
      <c r="B589" s="33" t="s">
        <v>2236</v>
      </c>
      <c r="C589" s="33" t="s">
        <v>432</v>
      </c>
      <c r="D589" s="33" t="s">
        <v>410</v>
      </c>
      <c r="E589" s="33">
        <v>62.342445214374301</v>
      </c>
    </row>
    <row r="590" spans="1:5">
      <c r="A590" s="33" t="e">
        <f>COUNTIF([1]Regions!$D$3:$D$30,BillionEURNEWAGE!$B590)&gt;0</f>
        <v>#VALUE!</v>
      </c>
      <c r="B590" s="33" t="s">
        <v>2236</v>
      </c>
      <c r="C590" s="33" t="s">
        <v>432</v>
      </c>
      <c r="D590" s="33" t="s">
        <v>411</v>
      </c>
      <c r="E590" s="33">
        <v>1.3255978854072601</v>
      </c>
    </row>
    <row r="591" spans="1:5">
      <c r="A591" s="33" t="e">
        <f>COUNTIF([1]Regions!$D$3:$D$30,BillionEURNEWAGE!$B591)&gt;0</f>
        <v>#VALUE!</v>
      </c>
      <c r="B591" s="33" t="s">
        <v>2236</v>
      </c>
      <c r="C591" s="33" t="s">
        <v>432</v>
      </c>
      <c r="D591" s="33" t="s">
        <v>414</v>
      </c>
      <c r="E591" s="34">
        <v>2.86563911388043E-5</v>
      </c>
    </row>
    <row r="592" spans="1:5">
      <c r="A592" s="33" t="e">
        <f>COUNTIF([1]Regions!$D$3:$D$30,BillionEURNEWAGE!$B592)&gt;0</f>
        <v>#VALUE!</v>
      </c>
      <c r="B592" s="33" t="s">
        <v>2236</v>
      </c>
      <c r="C592" s="33" t="s">
        <v>432</v>
      </c>
      <c r="D592" s="33" t="s">
        <v>416</v>
      </c>
      <c r="E592" s="33">
        <v>57.513556692780398</v>
      </c>
    </row>
    <row r="593" spans="1:5">
      <c r="A593" s="33" t="e">
        <f>COUNTIF([1]Regions!$D$3:$D$30,BillionEURNEWAGE!$B593)&gt;0</f>
        <v>#VALUE!</v>
      </c>
      <c r="B593" s="33" t="s">
        <v>2236</v>
      </c>
      <c r="C593" s="33" t="s">
        <v>432</v>
      </c>
      <c r="D593" s="33" t="s">
        <v>418</v>
      </c>
      <c r="E593" s="33">
        <v>2.9029315947416302E-2</v>
      </c>
    </row>
    <row r="594" spans="1:5">
      <c r="A594" s="33" t="e">
        <f>COUNTIF([1]Regions!$D$3:$D$30,BillionEURNEWAGE!$B594)&gt;0</f>
        <v>#VALUE!</v>
      </c>
      <c r="B594" s="33" t="s">
        <v>2236</v>
      </c>
      <c r="C594" s="33" t="s">
        <v>432</v>
      </c>
      <c r="D594" s="33" t="s">
        <v>420</v>
      </c>
      <c r="E594" s="33">
        <v>85.712694035808596</v>
      </c>
    </row>
    <row r="595" spans="1:5">
      <c r="A595" s="33" t="e">
        <f>COUNTIF([1]Regions!$D$3:$D$30,BillionEURNEWAGE!$B595)&gt;0</f>
        <v>#VALUE!</v>
      </c>
      <c r="B595" s="33" t="s">
        <v>2236</v>
      </c>
      <c r="C595" s="33" t="s">
        <v>432</v>
      </c>
      <c r="D595" s="33" t="s">
        <v>421</v>
      </c>
      <c r="E595" s="33">
        <v>36.3744562920904</v>
      </c>
    </row>
    <row r="596" spans="1:5">
      <c r="A596" s="33" t="e">
        <f>COUNTIF([1]Regions!$D$3:$D$30,BillionEURNEWAGE!$B596)&gt;0</f>
        <v>#VALUE!</v>
      </c>
      <c r="B596" s="33" t="s">
        <v>2236</v>
      </c>
      <c r="C596" s="33" t="s">
        <v>432</v>
      </c>
      <c r="D596" s="33" t="s">
        <v>423</v>
      </c>
      <c r="E596" s="33">
        <v>156.564700857725</v>
      </c>
    </row>
    <row r="597" spans="1:5">
      <c r="A597" s="33" t="e">
        <f>COUNTIF([1]Regions!$D$3:$D$30,BillionEURNEWAGE!$B597)&gt;0</f>
        <v>#VALUE!</v>
      </c>
      <c r="B597" s="33" t="s">
        <v>2236</v>
      </c>
      <c r="C597" s="33" t="s">
        <v>432</v>
      </c>
      <c r="D597" s="33" t="s">
        <v>425</v>
      </c>
      <c r="E597" s="33">
        <v>1.05680458243713E-2</v>
      </c>
    </row>
    <row r="598" spans="1:5">
      <c r="A598" s="33" t="e">
        <f>COUNTIF([1]Regions!$D$3:$D$30,BillionEURNEWAGE!$B598)&gt;0</f>
        <v>#VALUE!</v>
      </c>
      <c r="B598" s="33" t="s">
        <v>2236</v>
      </c>
      <c r="C598" s="33" t="s">
        <v>432</v>
      </c>
      <c r="D598" s="33" t="s">
        <v>427</v>
      </c>
      <c r="E598" s="33">
        <v>8.6181856975776192</v>
      </c>
    </row>
    <row r="599" spans="1:5">
      <c r="A599" s="33" t="e">
        <f>COUNTIF([1]Regions!$D$3:$D$30,BillionEURNEWAGE!$B599)&gt;0</f>
        <v>#VALUE!</v>
      </c>
      <c r="B599" s="33" t="s">
        <v>2236</v>
      </c>
      <c r="C599" s="33" t="s">
        <v>432</v>
      </c>
      <c r="D599" s="33" t="s">
        <v>429</v>
      </c>
      <c r="E599" s="33">
        <v>13.2435396917629</v>
      </c>
    </row>
    <row r="600" spans="1:5">
      <c r="A600" s="33" t="e">
        <f>COUNTIF([1]Regions!$D$3:$D$30,BillionEURNEWAGE!$B600)&gt;0</f>
        <v>#VALUE!</v>
      </c>
      <c r="B600" s="33" t="s">
        <v>2236</v>
      </c>
      <c r="C600" s="33" t="s">
        <v>432</v>
      </c>
      <c r="D600" s="33" t="s">
        <v>430</v>
      </c>
      <c r="E600" s="33">
        <v>49.599620221964202</v>
      </c>
    </row>
    <row r="601" spans="1:5">
      <c r="A601" s="33" t="e">
        <f>COUNTIF([1]Regions!$D$3:$D$30,BillionEURNEWAGE!$B601)&gt;0</f>
        <v>#VALUE!</v>
      </c>
      <c r="B601" s="33" t="s">
        <v>2237</v>
      </c>
      <c r="C601" s="33" t="s">
        <v>432</v>
      </c>
      <c r="D601" s="33" t="s">
        <v>401</v>
      </c>
      <c r="E601" s="33">
        <v>5.0694060064192197</v>
      </c>
    </row>
    <row r="602" spans="1:5">
      <c r="A602" s="33" t="e">
        <f>COUNTIF([1]Regions!$D$3:$D$30,BillionEURNEWAGE!$B602)&gt;0</f>
        <v>#VALUE!</v>
      </c>
      <c r="B602" s="33" t="s">
        <v>2237</v>
      </c>
      <c r="C602" s="33" t="s">
        <v>432</v>
      </c>
      <c r="D602" s="33" t="s">
        <v>402</v>
      </c>
      <c r="E602" s="33">
        <v>1.86823892484134</v>
      </c>
    </row>
    <row r="603" spans="1:5">
      <c r="A603" s="33" t="e">
        <f>COUNTIF([1]Regions!$D$3:$D$30,BillionEURNEWAGE!$B603)&gt;0</f>
        <v>#VALUE!</v>
      </c>
      <c r="B603" s="33" t="s">
        <v>2237</v>
      </c>
      <c r="C603" s="33" t="s">
        <v>432</v>
      </c>
      <c r="D603" s="33" t="s">
        <v>404</v>
      </c>
      <c r="E603" s="33">
        <v>2.3763995568724301</v>
      </c>
    </row>
    <row r="604" spans="1:5">
      <c r="A604" s="33" t="e">
        <f>COUNTIF([1]Regions!$D$3:$D$30,BillionEURNEWAGE!$B604)&gt;0</f>
        <v>#VALUE!</v>
      </c>
      <c r="B604" s="33" t="s">
        <v>2237</v>
      </c>
      <c r="C604" s="33" t="s">
        <v>432</v>
      </c>
      <c r="D604" s="33" t="s">
        <v>406</v>
      </c>
      <c r="E604" s="33">
        <v>0.64763107708121204</v>
      </c>
    </row>
    <row r="605" spans="1:5">
      <c r="A605" s="33" t="e">
        <f>COUNTIF([1]Regions!$D$3:$D$30,BillionEURNEWAGE!$B605)&gt;0</f>
        <v>#VALUE!</v>
      </c>
      <c r="B605" s="33" t="s">
        <v>2237</v>
      </c>
      <c r="C605" s="33" t="s">
        <v>432</v>
      </c>
      <c r="D605" s="33" t="s">
        <v>408</v>
      </c>
      <c r="E605" s="33">
        <v>3.5495270496754799E-2</v>
      </c>
    </row>
    <row r="606" spans="1:5">
      <c r="A606" s="33" t="e">
        <f>COUNTIF([1]Regions!$D$3:$D$30,BillionEURNEWAGE!$B606)&gt;0</f>
        <v>#VALUE!</v>
      </c>
      <c r="B606" s="33" t="s">
        <v>2237</v>
      </c>
      <c r="C606" s="33" t="s">
        <v>432</v>
      </c>
      <c r="D606" s="33" t="s">
        <v>410</v>
      </c>
      <c r="E606" s="33">
        <v>24.9276281599019</v>
      </c>
    </row>
    <row r="607" spans="1:5">
      <c r="A607" s="33" t="e">
        <f>COUNTIF([1]Regions!$D$3:$D$30,BillionEURNEWAGE!$B607)&gt;0</f>
        <v>#VALUE!</v>
      </c>
      <c r="B607" s="33" t="s">
        <v>2237</v>
      </c>
      <c r="C607" s="33" t="s">
        <v>432</v>
      </c>
      <c r="D607" s="33" t="s">
        <v>411</v>
      </c>
      <c r="E607" s="33">
        <v>0.237082251438786</v>
      </c>
    </row>
    <row r="608" spans="1:5">
      <c r="A608" s="33" t="e">
        <f>COUNTIF([1]Regions!$D$3:$D$30,BillionEURNEWAGE!$B608)&gt;0</f>
        <v>#VALUE!</v>
      </c>
      <c r="B608" s="33" t="s">
        <v>2237</v>
      </c>
      <c r="C608" s="33" t="s">
        <v>432</v>
      </c>
      <c r="D608" s="33" t="s">
        <v>413</v>
      </c>
      <c r="E608" s="33">
        <v>2.6045966369510301E-2</v>
      </c>
    </row>
    <row r="609" spans="1:5">
      <c r="A609" s="33" t="e">
        <f>COUNTIF([1]Regions!$D$3:$D$30,BillionEURNEWAGE!$B609)&gt;0</f>
        <v>#VALUE!</v>
      </c>
      <c r="B609" s="33" t="s">
        <v>2237</v>
      </c>
      <c r="C609" s="33" t="s">
        <v>432</v>
      </c>
      <c r="D609" s="33" t="s">
        <v>414</v>
      </c>
      <c r="E609" s="34">
        <v>3.2463967887663401E-6</v>
      </c>
    </row>
    <row r="610" spans="1:5">
      <c r="A610" s="33" t="e">
        <f>COUNTIF([1]Regions!$D$3:$D$30,BillionEURNEWAGE!$B610)&gt;0</f>
        <v>#VALUE!</v>
      </c>
      <c r="B610" s="33" t="s">
        <v>2237</v>
      </c>
      <c r="C610" s="33" t="s">
        <v>432</v>
      </c>
      <c r="D610" s="33" t="s">
        <v>416</v>
      </c>
      <c r="E610" s="33">
        <v>17.133318858037399</v>
      </c>
    </row>
    <row r="611" spans="1:5">
      <c r="A611" s="33" t="e">
        <f>COUNTIF([1]Regions!$D$3:$D$30,BillionEURNEWAGE!$B611)&gt;0</f>
        <v>#VALUE!</v>
      </c>
      <c r="B611" s="33" t="s">
        <v>2237</v>
      </c>
      <c r="C611" s="33" t="s">
        <v>432</v>
      </c>
      <c r="D611" s="33" t="s">
        <v>418</v>
      </c>
      <c r="E611" s="33">
        <v>3.49087890581729E-2</v>
      </c>
    </row>
    <row r="612" spans="1:5">
      <c r="A612" s="33" t="e">
        <f>COUNTIF([1]Regions!$D$3:$D$30,BillionEURNEWAGE!$B612)&gt;0</f>
        <v>#VALUE!</v>
      </c>
      <c r="B612" s="33" t="s">
        <v>2237</v>
      </c>
      <c r="C612" s="33" t="s">
        <v>432</v>
      </c>
      <c r="D612" s="33" t="s">
        <v>420</v>
      </c>
      <c r="E612" s="33">
        <v>19.1728903356967</v>
      </c>
    </row>
    <row r="613" spans="1:5">
      <c r="A613" s="33" t="e">
        <f>COUNTIF([1]Regions!$D$3:$D$30,BillionEURNEWAGE!$B613)&gt;0</f>
        <v>#VALUE!</v>
      </c>
      <c r="B613" s="33" t="s">
        <v>2237</v>
      </c>
      <c r="C613" s="33" t="s">
        <v>432</v>
      </c>
      <c r="D613" s="33" t="s">
        <v>421</v>
      </c>
      <c r="E613" s="33">
        <v>16.481638975267099</v>
      </c>
    </row>
    <row r="614" spans="1:5">
      <c r="A614" s="33" t="e">
        <f>COUNTIF([1]Regions!$D$3:$D$30,BillionEURNEWAGE!$B614)&gt;0</f>
        <v>#VALUE!</v>
      </c>
      <c r="B614" s="33" t="s">
        <v>2237</v>
      </c>
      <c r="C614" s="33" t="s">
        <v>432</v>
      </c>
      <c r="D614" s="33" t="s">
        <v>423</v>
      </c>
      <c r="E614" s="33">
        <v>29.8839610035395</v>
      </c>
    </row>
    <row r="615" spans="1:5">
      <c r="A615" s="33" t="e">
        <f>COUNTIF([1]Regions!$D$3:$D$30,BillionEURNEWAGE!$B615)&gt;0</f>
        <v>#VALUE!</v>
      </c>
      <c r="B615" s="33" t="s">
        <v>2237</v>
      </c>
      <c r="C615" s="33" t="s">
        <v>432</v>
      </c>
      <c r="D615" s="33" t="s">
        <v>425</v>
      </c>
      <c r="E615" s="33">
        <v>7.6264256399775901E-3</v>
      </c>
    </row>
    <row r="616" spans="1:5">
      <c r="A616" s="33" t="e">
        <f>COUNTIF([1]Regions!$D$3:$D$30,BillionEURNEWAGE!$B616)&gt;0</f>
        <v>#VALUE!</v>
      </c>
      <c r="B616" s="33" t="s">
        <v>2237</v>
      </c>
      <c r="C616" s="33" t="s">
        <v>432</v>
      </c>
      <c r="D616" s="33" t="s">
        <v>427</v>
      </c>
      <c r="E616" s="33">
        <v>9.6869920194156105</v>
      </c>
    </row>
    <row r="617" spans="1:5">
      <c r="A617" s="33" t="e">
        <f>COUNTIF([1]Regions!$D$3:$D$30,BillionEURNEWAGE!$B617)&gt;0</f>
        <v>#VALUE!</v>
      </c>
      <c r="B617" s="33" t="s">
        <v>2237</v>
      </c>
      <c r="C617" s="33" t="s">
        <v>432</v>
      </c>
      <c r="D617" s="33" t="s">
        <v>429</v>
      </c>
      <c r="E617" s="33">
        <v>5.4983119277988903</v>
      </c>
    </row>
    <row r="618" spans="1:5">
      <c r="A618" s="33" t="e">
        <f>COUNTIF([1]Regions!$D$3:$D$30,BillionEURNEWAGE!$B618)&gt;0</f>
        <v>#VALUE!</v>
      </c>
      <c r="B618" s="33" t="s">
        <v>2237</v>
      </c>
      <c r="C618" s="33" t="s">
        <v>432</v>
      </c>
      <c r="D618" s="33" t="s">
        <v>430</v>
      </c>
      <c r="E618" s="33">
        <v>23.809653621197899</v>
      </c>
    </row>
    <row r="619" spans="1:5">
      <c r="A619" s="33" t="e">
        <f>COUNTIF([1]Regions!$D$3:$D$30,BillionEURNEWAGE!$B619)&gt;0</f>
        <v>#VALUE!</v>
      </c>
      <c r="B619" s="33" t="s">
        <v>2238</v>
      </c>
      <c r="C619" s="33" t="s">
        <v>432</v>
      </c>
      <c r="D619" s="33" t="s">
        <v>401</v>
      </c>
      <c r="E619" s="33">
        <v>5.9247782824450104</v>
      </c>
    </row>
    <row r="620" spans="1:5">
      <c r="A620" s="33" t="e">
        <f>COUNTIF([1]Regions!$D$3:$D$30,BillionEURNEWAGE!$B620)&gt;0</f>
        <v>#VALUE!</v>
      </c>
      <c r="B620" s="33" t="s">
        <v>2238</v>
      </c>
      <c r="C620" s="33" t="s">
        <v>432</v>
      </c>
      <c r="D620" s="33" t="s">
        <v>402</v>
      </c>
      <c r="E620" s="33">
        <v>3.27602269039927</v>
      </c>
    </row>
    <row r="621" spans="1:5">
      <c r="A621" s="33" t="e">
        <f>COUNTIF([1]Regions!$D$3:$D$30,BillionEURNEWAGE!$B621)&gt;0</f>
        <v>#VALUE!</v>
      </c>
      <c r="B621" s="33" t="s">
        <v>2238</v>
      </c>
      <c r="C621" s="33" t="s">
        <v>432</v>
      </c>
      <c r="D621" s="33" t="s">
        <v>404</v>
      </c>
      <c r="E621" s="33">
        <v>5.89195754679257</v>
      </c>
    </row>
    <row r="622" spans="1:5">
      <c r="A622" s="33" t="e">
        <f>COUNTIF([1]Regions!$D$3:$D$30,BillionEURNEWAGE!$B622)&gt;0</f>
        <v>#VALUE!</v>
      </c>
      <c r="B622" s="33" t="s">
        <v>2238</v>
      </c>
      <c r="C622" s="33" t="s">
        <v>432</v>
      </c>
      <c r="D622" s="33" t="s">
        <v>406</v>
      </c>
      <c r="E622" s="33">
        <v>1.27254533405631</v>
      </c>
    </row>
    <row r="623" spans="1:5">
      <c r="A623" s="33" t="e">
        <f>COUNTIF([1]Regions!$D$3:$D$30,BillionEURNEWAGE!$B623)&gt;0</f>
        <v>#VALUE!</v>
      </c>
      <c r="B623" s="33" t="s">
        <v>2238</v>
      </c>
      <c r="C623" s="33" t="s">
        <v>432</v>
      </c>
      <c r="D623" s="33" t="s">
        <v>408</v>
      </c>
      <c r="E623" s="33">
        <v>1.66906522521931E-2</v>
      </c>
    </row>
    <row r="624" spans="1:5">
      <c r="A624" s="33" t="e">
        <f>COUNTIF([1]Regions!$D$3:$D$30,BillionEURNEWAGE!$B624)&gt;0</f>
        <v>#VALUE!</v>
      </c>
      <c r="B624" s="33" t="s">
        <v>2238</v>
      </c>
      <c r="C624" s="33" t="s">
        <v>432</v>
      </c>
      <c r="D624" s="33" t="s">
        <v>410</v>
      </c>
      <c r="E624" s="33">
        <v>26.8069375412421</v>
      </c>
    </row>
    <row r="625" spans="1:5">
      <c r="A625" s="33" t="e">
        <f>COUNTIF([1]Regions!$D$3:$D$30,BillionEURNEWAGE!$B625)&gt;0</f>
        <v>#VALUE!</v>
      </c>
      <c r="B625" s="33" t="s">
        <v>2238</v>
      </c>
      <c r="C625" s="33" t="s">
        <v>432</v>
      </c>
      <c r="D625" s="33" t="s">
        <v>411</v>
      </c>
      <c r="E625" s="33">
        <v>1.1142170644009</v>
      </c>
    </row>
    <row r="626" spans="1:5">
      <c r="A626" s="33" t="e">
        <f>COUNTIF([1]Regions!$D$3:$D$30,BillionEURNEWAGE!$B626)&gt;0</f>
        <v>#VALUE!</v>
      </c>
      <c r="B626" s="33" t="s">
        <v>2238</v>
      </c>
      <c r="C626" s="33" t="s">
        <v>432</v>
      </c>
      <c r="D626" s="33" t="s">
        <v>413</v>
      </c>
      <c r="E626" s="33">
        <v>4.2825705111393698E-2</v>
      </c>
    </row>
    <row r="627" spans="1:5">
      <c r="A627" s="33" t="e">
        <f>COUNTIF([1]Regions!$D$3:$D$30,BillionEURNEWAGE!$B627)&gt;0</f>
        <v>#VALUE!</v>
      </c>
      <c r="B627" s="33" t="s">
        <v>2238</v>
      </c>
      <c r="C627" s="33" t="s">
        <v>432</v>
      </c>
      <c r="D627" s="33" t="s">
        <v>414</v>
      </c>
      <c r="E627" s="33">
        <v>3.0029398177539201E-2</v>
      </c>
    </row>
    <row r="628" spans="1:5">
      <c r="A628" s="33" t="e">
        <f>COUNTIF([1]Regions!$D$3:$D$30,BillionEURNEWAGE!$B628)&gt;0</f>
        <v>#VALUE!</v>
      </c>
      <c r="B628" s="33" t="s">
        <v>2238</v>
      </c>
      <c r="C628" s="33" t="s">
        <v>432</v>
      </c>
      <c r="D628" s="33" t="s">
        <v>416</v>
      </c>
      <c r="E628" s="33">
        <v>23.564803160621398</v>
      </c>
    </row>
    <row r="629" spans="1:5">
      <c r="A629" s="33" t="e">
        <f>COUNTIF([1]Regions!$D$3:$D$30,BillionEURNEWAGE!$B629)&gt;0</f>
        <v>#VALUE!</v>
      </c>
      <c r="B629" s="33" t="s">
        <v>2238</v>
      </c>
      <c r="C629" s="33" t="s">
        <v>432</v>
      </c>
      <c r="D629" s="33" t="s">
        <v>418</v>
      </c>
      <c r="E629" s="33">
        <v>7.9068868474840501E-4</v>
      </c>
    </row>
    <row r="630" spans="1:5">
      <c r="A630" s="33" t="e">
        <f>COUNTIF([1]Regions!$D$3:$D$30,BillionEURNEWAGE!$B630)&gt;0</f>
        <v>#VALUE!</v>
      </c>
      <c r="B630" s="33" t="s">
        <v>2238</v>
      </c>
      <c r="C630" s="33" t="s">
        <v>432</v>
      </c>
      <c r="D630" s="33" t="s">
        <v>420</v>
      </c>
      <c r="E630" s="33">
        <v>27.8842545093081</v>
      </c>
    </row>
    <row r="631" spans="1:5">
      <c r="A631" s="33" t="e">
        <f>COUNTIF([1]Regions!$D$3:$D$30,BillionEURNEWAGE!$B631)&gt;0</f>
        <v>#VALUE!</v>
      </c>
      <c r="B631" s="33" t="s">
        <v>2238</v>
      </c>
      <c r="C631" s="33" t="s">
        <v>432</v>
      </c>
      <c r="D631" s="33" t="s">
        <v>421</v>
      </c>
      <c r="E631" s="33">
        <v>34.9348256779124</v>
      </c>
    </row>
    <row r="632" spans="1:5">
      <c r="A632" s="33" t="e">
        <f>COUNTIF([1]Regions!$D$3:$D$30,BillionEURNEWAGE!$B632)&gt;0</f>
        <v>#VALUE!</v>
      </c>
      <c r="B632" s="33" t="s">
        <v>2238</v>
      </c>
      <c r="C632" s="33" t="s">
        <v>432</v>
      </c>
      <c r="D632" s="33" t="s">
        <v>423</v>
      </c>
      <c r="E632" s="33">
        <v>56.104476886201802</v>
      </c>
    </row>
    <row r="633" spans="1:5">
      <c r="A633" s="33" t="e">
        <f>COUNTIF([1]Regions!$D$3:$D$30,BillionEURNEWAGE!$B633)&gt;0</f>
        <v>#VALUE!</v>
      </c>
      <c r="B633" s="33" t="s">
        <v>2238</v>
      </c>
      <c r="C633" s="33" t="s">
        <v>432</v>
      </c>
      <c r="D633" s="33" t="s">
        <v>425</v>
      </c>
      <c r="E633" s="33">
        <v>0.13884693621806901</v>
      </c>
    </row>
    <row r="634" spans="1:5">
      <c r="A634" s="33" t="e">
        <f>COUNTIF([1]Regions!$D$3:$D$30,BillionEURNEWAGE!$B634)&gt;0</f>
        <v>#VALUE!</v>
      </c>
      <c r="B634" s="33" t="s">
        <v>2238</v>
      </c>
      <c r="C634" s="33" t="s">
        <v>432</v>
      </c>
      <c r="D634" s="33" t="s">
        <v>427</v>
      </c>
      <c r="E634" s="33">
        <v>12.8978456630638</v>
      </c>
    </row>
    <row r="635" spans="1:5">
      <c r="A635" s="33" t="e">
        <f>COUNTIF([1]Regions!$D$3:$D$30,BillionEURNEWAGE!$B635)&gt;0</f>
        <v>#VALUE!</v>
      </c>
      <c r="B635" s="33" t="s">
        <v>2238</v>
      </c>
      <c r="C635" s="33" t="s">
        <v>432</v>
      </c>
      <c r="D635" s="33" t="s">
        <v>429</v>
      </c>
      <c r="E635" s="33">
        <v>8.8796968412098192</v>
      </c>
    </row>
    <row r="636" spans="1:5">
      <c r="A636" s="33" t="e">
        <f>COUNTIF([1]Regions!$D$3:$D$30,BillionEURNEWAGE!$B636)&gt;0</f>
        <v>#VALUE!</v>
      </c>
      <c r="B636" s="33" t="s">
        <v>2238</v>
      </c>
      <c r="C636" s="33" t="s">
        <v>432</v>
      </c>
      <c r="D636" s="33" t="s">
        <v>430</v>
      </c>
      <c r="E636" s="33">
        <v>44.906414787223802</v>
      </c>
    </row>
    <row r="637" spans="1:5">
      <c r="A637" s="33" t="e">
        <f>COUNTIF([1]Regions!$D$3:$D$30,BillionEURNEWAGE!$B637)&gt;0</f>
        <v>#VALUE!</v>
      </c>
      <c r="B637" s="33" t="s">
        <v>2239</v>
      </c>
      <c r="C637" s="33" t="s">
        <v>432</v>
      </c>
      <c r="D637" s="33" t="s">
        <v>401</v>
      </c>
      <c r="E637" s="33">
        <v>2.0459193242250899</v>
      </c>
    </row>
    <row r="638" spans="1:5">
      <c r="A638" s="33" t="e">
        <f>COUNTIF([1]Regions!$D$3:$D$30,BillionEURNEWAGE!$B638)&gt;0</f>
        <v>#VALUE!</v>
      </c>
      <c r="B638" s="33" t="s">
        <v>2239</v>
      </c>
      <c r="C638" s="33" t="s">
        <v>432</v>
      </c>
      <c r="D638" s="33" t="s">
        <v>402</v>
      </c>
      <c r="E638" s="33">
        <v>2.5029002774435298</v>
      </c>
    </row>
    <row r="639" spans="1:5">
      <c r="A639" s="33" t="e">
        <f>COUNTIF([1]Regions!$D$3:$D$30,BillionEURNEWAGE!$B639)&gt;0</f>
        <v>#VALUE!</v>
      </c>
      <c r="B639" s="33" t="s">
        <v>2239</v>
      </c>
      <c r="C639" s="33" t="s">
        <v>432</v>
      </c>
      <c r="D639" s="33" t="s">
        <v>404</v>
      </c>
      <c r="E639" s="33">
        <v>1.4898849098620499</v>
      </c>
    </row>
    <row r="640" spans="1:5">
      <c r="A640" s="33" t="e">
        <f>COUNTIF([1]Regions!$D$3:$D$30,BillionEURNEWAGE!$B640)&gt;0</f>
        <v>#VALUE!</v>
      </c>
      <c r="B640" s="33" t="s">
        <v>2239</v>
      </c>
      <c r="C640" s="33" t="s">
        <v>432</v>
      </c>
      <c r="D640" s="33" t="s">
        <v>406</v>
      </c>
      <c r="E640" s="33">
        <v>0.35519907869999501</v>
      </c>
    </row>
    <row r="641" spans="1:5">
      <c r="A641" s="33" t="e">
        <f>COUNTIF([1]Regions!$D$3:$D$30,BillionEURNEWAGE!$B641)&gt;0</f>
        <v>#VALUE!</v>
      </c>
      <c r="B641" s="33" t="s">
        <v>2239</v>
      </c>
      <c r="C641" s="33" t="s">
        <v>432</v>
      </c>
      <c r="D641" s="33" t="s">
        <v>408</v>
      </c>
      <c r="E641" s="33">
        <v>9.8505278641973192E-3</v>
      </c>
    </row>
    <row r="642" spans="1:5">
      <c r="A642" s="33" t="e">
        <f>COUNTIF([1]Regions!$D$3:$D$30,BillionEURNEWAGE!$B642)&gt;0</f>
        <v>#VALUE!</v>
      </c>
      <c r="B642" s="33" t="s">
        <v>2239</v>
      </c>
      <c r="C642" s="33" t="s">
        <v>432</v>
      </c>
      <c r="D642" s="33" t="s">
        <v>410</v>
      </c>
      <c r="E642" s="33">
        <v>15.779747739757401</v>
      </c>
    </row>
    <row r="643" spans="1:5">
      <c r="A643" s="33" t="e">
        <f>COUNTIF([1]Regions!$D$3:$D$30,BillionEURNEWAGE!$B643)&gt;0</f>
        <v>#VALUE!</v>
      </c>
      <c r="B643" s="33" t="s">
        <v>2239</v>
      </c>
      <c r="C643" s="33" t="s">
        <v>432</v>
      </c>
      <c r="D643" s="33" t="s">
        <v>411</v>
      </c>
      <c r="E643" s="33">
        <v>0.77716560349208896</v>
      </c>
    </row>
    <row r="644" spans="1:5">
      <c r="A644" s="33" t="e">
        <f>COUNTIF([1]Regions!$D$3:$D$30,BillionEURNEWAGE!$B644)&gt;0</f>
        <v>#VALUE!</v>
      </c>
      <c r="B644" s="33" t="s">
        <v>2239</v>
      </c>
      <c r="C644" s="33" t="s">
        <v>432</v>
      </c>
      <c r="D644" s="33" t="s">
        <v>413</v>
      </c>
      <c r="E644" s="33">
        <v>4.7513037999872797E-3</v>
      </c>
    </row>
    <row r="645" spans="1:5">
      <c r="A645" s="33" t="e">
        <f>COUNTIF([1]Regions!$D$3:$D$30,BillionEURNEWAGE!$B645)&gt;0</f>
        <v>#VALUE!</v>
      </c>
      <c r="B645" s="33" t="s">
        <v>2239</v>
      </c>
      <c r="C645" s="33" t="s">
        <v>432</v>
      </c>
      <c r="D645" s="33" t="s">
        <v>414</v>
      </c>
      <c r="E645" s="34">
        <v>3.45811445926352E-6</v>
      </c>
    </row>
    <row r="646" spans="1:5">
      <c r="A646" s="33" t="e">
        <f>COUNTIF([1]Regions!$D$3:$D$30,BillionEURNEWAGE!$B646)&gt;0</f>
        <v>#VALUE!</v>
      </c>
      <c r="B646" s="33" t="s">
        <v>2239</v>
      </c>
      <c r="C646" s="33" t="s">
        <v>432</v>
      </c>
      <c r="D646" s="33" t="s">
        <v>416</v>
      </c>
      <c r="E646" s="33">
        <v>11.629510915187399</v>
      </c>
    </row>
    <row r="647" spans="1:5">
      <c r="A647" s="33" t="e">
        <f>COUNTIF([1]Regions!$D$3:$D$30,BillionEURNEWAGE!$B647)&gt;0</f>
        <v>#VALUE!</v>
      </c>
      <c r="B647" s="33" t="s">
        <v>2239</v>
      </c>
      <c r="C647" s="33" t="s">
        <v>432</v>
      </c>
      <c r="D647" s="33" t="s">
        <v>418</v>
      </c>
      <c r="E647" s="33">
        <v>5.1165294173678602E-4</v>
      </c>
    </row>
    <row r="648" spans="1:5">
      <c r="A648" s="33" t="e">
        <f>COUNTIF([1]Regions!$D$3:$D$30,BillionEURNEWAGE!$B648)&gt;0</f>
        <v>#VALUE!</v>
      </c>
      <c r="B648" s="33" t="s">
        <v>2239</v>
      </c>
      <c r="C648" s="33" t="s">
        <v>432</v>
      </c>
      <c r="D648" s="33" t="s">
        <v>420</v>
      </c>
      <c r="E648" s="33">
        <v>10.849870754395701</v>
      </c>
    </row>
    <row r="649" spans="1:5">
      <c r="A649" s="33" t="e">
        <f>COUNTIF([1]Regions!$D$3:$D$30,BillionEURNEWAGE!$B649)&gt;0</f>
        <v>#VALUE!</v>
      </c>
      <c r="B649" s="33" t="s">
        <v>2239</v>
      </c>
      <c r="C649" s="33" t="s">
        <v>432</v>
      </c>
      <c r="D649" s="33" t="s">
        <v>421</v>
      </c>
      <c r="E649" s="33">
        <v>14.1074414114387</v>
      </c>
    </row>
    <row r="650" spans="1:5">
      <c r="A650" s="33" t="e">
        <f>COUNTIF([1]Regions!$D$3:$D$30,BillionEURNEWAGE!$B650)&gt;0</f>
        <v>#VALUE!</v>
      </c>
      <c r="B650" s="33" t="s">
        <v>2239</v>
      </c>
      <c r="C650" s="33" t="s">
        <v>432</v>
      </c>
      <c r="D650" s="33" t="s">
        <v>423</v>
      </c>
      <c r="E650" s="33">
        <v>18.899789766787102</v>
      </c>
    </row>
    <row r="651" spans="1:5">
      <c r="A651" s="33" t="e">
        <f>COUNTIF([1]Regions!$D$3:$D$30,BillionEURNEWAGE!$B651)&gt;0</f>
        <v>#VALUE!</v>
      </c>
      <c r="B651" s="33" t="s">
        <v>2239</v>
      </c>
      <c r="C651" s="33" t="s">
        <v>432</v>
      </c>
      <c r="D651" s="33" t="s">
        <v>425</v>
      </c>
      <c r="E651" s="33">
        <v>0.106003074187785</v>
      </c>
    </row>
    <row r="652" spans="1:5">
      <c r="A652" s="33" t="e">
        <f>COUNTIF([1]Regions!$D$3:$D$30,BillionEURNEWAGE!$B652)&gt;0</f>
        <v>#VALUE!</v>
      </c>
      <c r="B652" s="33" t="s">
        <v>2239</v>
      </c>
      <c r="C652" s="33" t="s">
        <v>432</v>
      </c>
      <c r="D652" s="33" t="s">
        <v>427</v>
      </c>
      <c r="E652" s="33">
        <v>5.9208208754134697</v>
      </c>
    </row>
    <row r="653" spans="1:5">
      <c r="A653" s="33" t="e">
        <f>COUNTIF([1]Regions!$D$3:$D$30,BillionEURNEWAGE!$B653)&gt;0</f>
        <v>#VALUE!</v>
      </c>
      <c r="B653" s="33" t="s">
        <v>2239</v>
      </c>
      <c r="C653" s="33" t="s">
        <v>432</v>
      </c>
      <c r="D653" s="33" t="s">
        <v>429</v>
      </c>
      <c r="E653" s="33">
        <v>4.3207703020951698</v>
      </c>
    </row>
    <row r="654" spans="1:5">
      <c r="A654" s="33" t="e">
        <f>COUNTIF([1]Regions!$D$3:$D$30,BillionEURNEWAGE!$B654)&gt;0</f>
        <v>#VALUE!</v>
      </c>
      <c r="B654" s="33" t="s">
        <v>2239</v>
      </c>
      <c r="C654" s="33" t="s">
        <v>432</v>
      </c>
      <c r="D654" s="33" t="s">
        <v>430</v>
      </c>
      <c r="E654" s="33">
        <v>27.2042319096604</v>
      </c>
    </row>
    <row r="655" spans="1:5">
      <c r="A655" s="33" t="e">
        <f>COUNTIF([1]Regions!$D$3:$D$30,BillionEURNEWAGE!$B655)&gt;0</f>
        <v>#VALUE!</v>
      </c>
      <c r="B655" s="33" t="s">
        <v>2240</v>
      </c>
      <c r="C655" s="33" t="s">
        <v>432</v>
      </c>
      <c r="D655" s="33" t="s">
        <v>401</v>
      </c>
      <c r="E655" s="33">
        <v>0.61697144835088003</v>
      </c>
    </row>
    <row r="656" spans="1:5">
      <c r="A656" s="33" t="e">
        <f>COUNTIF([1]Regions!$D$3:$D$30,BillionEURNEWAGE!$B656)&gt;0</f>
        <v>#VALUE!</v>
      </c>
      <c r="B656" s="33" t="s">
        <v>2240</v>
      </c>
      <c r="C656" s="33" t="s">
        <v>432</v>
      </c>
      <c r="D656" s="33" t="s">
        <v>402</v>
      </c>
      <c r="E656" s="33">
        <v>0.69873744656657</v>
      </c>
    </row>
    <row r="657" spans="1:5">
      <c r="A657" s="33" t="e">
        <f>COUNTIF([1]Regions!$D$3:$D$30,BillionEURNEWAGE!$B657)&gt;0</f>
        <v>#VALUE!</v>
      </c>
      <c r="B657" s="33" t="s">
        <v>2240</v>
      </c>
      <c r="C657" s="33" t="s">
        <v>432</v>
      </c>
      <c r="D657" s="33" t="s">
        <v>404</v>
      </c>
      <c r="E657" s="33">
        <v>0.81834399378517697</v>
      </c>
    </row>
    <row r="658" spans="1:5">
      <c r="A658" s="33" t="e">
        <f>COUNTIF([1]Regions!$D$3:$D$30,BillionEURNEWAGE!$B658)&gt;0</f>
        <v>#VALUE!</v>
      </c>
      <c r="B658" s="33" t="s">
        <v>2240</v>
      </c>
      <c r="C658" s="33" t="s">
        <v>432</v>
      </c>
      <c r="D658" s="33" t="s">
        <v>406</v>
      </c>
      <c r="E658" s="33">
        <v>0.28503149545631201</v>
      </c>
    </row>
    <row r="659" spans="1:5">
      <c r="A659" s="33" t="e">
        <f>COUNTIF([1]Regions!$D$3:$D$30,BillionEURNEWAGE!$B659)&gt;0</f>
        <v>#VALUE!</v>
      </c>
      <c r="B659" s="33" t="s">
        <v>2240</v>
      </c>
      <c r="C659" s="33" t="s">
        <v>432</v>
      </c>
      <c r="D659" s="33" t="s">
        <v>408</v>
      </c>
      <c r="E659" s="33">
        <v>3.5686275083562501E-2</v>
      </c>
    </row>
    <row r="660" spans="1:5">
      <c r="A660" s="33" t="e">
        <f>COUNTIF([1]Regions!$D$3:$D$30,BillionEURNEWAGE!$B660)&gt;0</f>
        <v>#VALUE!</v>
      </c>
      <c r="B660" s="33" t="s">
        <v>2240</v>
      </c>
      <c r="C660" s="33" t="s">
        <v>432</v>
      </c>
      <c r="D660" s="33" t="s">
        <v>410</v>
      </c>
      <c r="E660" s="33">
        <v>3.7717467226973902</v>
      </c>
    </row>
    <row r="661" spans="1:5">
      <c r="A661" s="33" t="e">
        <f>COUNTIF([1]Regions!$D$3:$D$30,BillionEURNEWAGE!$B661)&gt;0</f>
        <v>#VALUE!</v>
      </c>
      <c r="B661" s="33" t="s">
        <v>2240</v>
      </c>
      <c r="C661" s="33" t="s">
        <v>432</v>
      </c>
      <c r="D661" s="33" t="s">
        <v>411</v>
      </c>
      <c r="E661" s="33">
        <v>0.191923475723874</v>
      </c>
    </row>
    <row r="662" spans="1:5">
      <c r="A662" s="33" t="e">
        <f>COUNTIF([1]Regions!$D$3:$D$30,BillionEURNEWAGE!$B662)&gt;0</f>
        <v>#VALUE!</v>
      </c>
      <c r="B662" s="33" t="s">
        <v>2240</v>
      </c>
      <c r="C662" s="33" t="s">
        <v>432</v>
      </c>
      <c r="D662" s="33" t="s">
        <v>413</v>
      </c>
      <c r="E662" s="33">
        <v>8.6796489743788105E-2</v>
      </c>
    </row>
    <row r="663" spans="1:5">
      <c r="A663" s="33" t="e">
        <f>COUNTIF([1]Regions!$D$3:$D$30,BillionEURNEWAGE!$B663)&gt;0</f>
        <v>#VALUE!</v>
      </c>
      <c r="B663" s="33" t="s">
        <v>2240</v>
      </c>
      <c r="C663" s="33" t="s">
        <v>432</v>
      </c>
      <c r="D663" s="33" t="s">
        <v>414</v>
      </c>
      <c r="E663" s="34">
        <v>9.1890185260632296E-7</v>
      </c>
    </row>
    <row r="664" spans="1:5">
      <c r="A664" s="33" t="e">
        <f>COUNTIF([1]Regions!$D$3:$D$30,BillionEURNEWAGE!$B664)&gt;0</f>
        <v>#VALUE!</v>
      </c>
      <c r="B664" s="33" t="s">
        <v>2240</v>
      </c>
      <c r="C664" s="33" t="s">
        <v>432</v>
      </c>
      <c r="D664" s="33" t="s">
        <v>416</v>
      </c>
      <c r="E664" s="33">
        <v>4.8171398134757801</v>
      </c>
    </row>
    <row r="665" spans="1:5">
      <c r="A665" s="33" t="e">
        <f>COUNTIF([1]Regions!$D$3:$D$30,BillionEURNEWAGE!$B665)&gt;0</f>
        <v>#VALUE!</v>
      </c>
      <c r="B665" s="33" t="s">
        <v>2240</v>
      </c>
      <c r="C665" s="33" t="s">
        <v>432</v>
      </c>
      <c r="D665" s="33" t="s">
        <v>418</v>
      </c>
      <c r="E665" s="33">
        <v>6.1402110417135801E-2</v>
      </c>
    </row>
    <row r="666" spans="1:5">
      <c r="A666" s="33" t="e">
        <f>COUNTIF([1]Regions!$D$3:$D$30,BillionEURNEWAGE!$B666)&gt;0</f>
        <v>#VALUE!</v>
      </c>
      <c r="B666" s="33" t="s">
        <v>2240</v>
      </c>
      <c r="C666" s="33" t="s">
        <v>432</v>
      </c>
      <c r="D666" s="33" t="s">
        <v>420</v>
      </c>
      <c r="E666" s="33">
        <v>3.3232204715942402</v>
      </c>
    </row>
    <row r="667" spans="1:5">
      <c r="A667" s="33" t="e">
        <f>COUNTIF([1]Regions!$D$3:$D$30,BillionEURNEWAGE!$B667)&gt;0</f>
        <v>#VALUE!</v>
      </c>
      <c r="B667" s="33" t="s">
        <v>2240</v>
      </c>
      <c r="C667" s="33" t="s">
        <v>432</v>
      </c>
      <c r="D667" s="33" t="s">
        <v>421</v>
      </c>
      <c r="E667" s="33">
        <v>3.0382817242715401</v>
      </c>
    </row>
    <row r="668" spans="1:5">
      <c r="A668" s="33" t="e">
        <f>COUNTIF([1]Regions!$D$3:$D$30,BillionEURNEWAGE!$B668)&gt;0</f>
        <v>#VALUE!</v>
      </c>
      <c r="B668" s="33" t="s">
        <v>2240</v>
      </c>
      <c r="C668" s="33" t="s">
        <v>432</v>
      </c>
      <c r="D668" s="33" t="s">
        <v>423</v>
      </c>
      <c r="E668" s="33">
        <v>5.1904376293610603</v>
      </c>
    </row>
    <row r="669" spans="1:5">
      <c r="A669" s="33" t="e">
        <f>COUNTIF([1]Regions!$D$3:$D$30,BillionEURNEWAGE!$B669)&gt;0</f>
        <v>#VALUE!</v>
      </c>
      <c r="B669" s="33" t="s">
        <v>2240</v>
      </c>
      <c r="C669" s="33" t="s">
        <v>432</v>
      </c>
      <c r="D669" s="33" t="s">
        <v>425</v>
      </c>
      <c r="E669" s="33">
        <v>0.14570960889982601</v>
      </c>
    </row>
    <row r="670" spans="1:5">
      <c r="A670" s="33" t="e">
        <f>COUNTIF([1]Regions!$D$3:$D$30,BillionEURNEWAGE!$B670)&gt;0</f>
        <v>#VALUE!</v>
      </c>
      <c r="B670" s="33" t="s">
        <v>2240</v>
      </c>
      <c r="C670" s="33" t="s">
        <v>432</v>
      </c>
      <c r="D670" s="33" t="s">
        <v>427</v>
      </c>
      <c r="E670" s="33">
        <v>1.2150612781010599</v>
      </c>
    </row>
    <row r="671" spans="1:5">
      <c r="A671" s="33" t="e">
        <f>COUNTIF([1]Regions!$D$3:$D$30,BillionEURNEWAGE!$B671)&gt;0</f>
        <v>#VALUE!</v>
      </c>
      <c r="B671" s="33" t="s">
        <v>2240</v>
      </c>
      <c r="C671" s="33" t="s">
        <v>432</v>
      </c>
      <c r="D671" s="33" t="s">
        <v>429</v>
      </c>
      <c r="E671" s="33">
        <v>1.0147059884090099</v>
      </c>
    </row>
    <row r="672" spans="1:5">
      <c r="A672" s="33" t="e">
        <f>COUNTIF([1]Regions!$D$3:$D$30,BillionEURNEWAGE!$B672)&gt;0</f>
        <v>#VALUE!</v>
      </c>
      <c r="B672" s="33" t="s">
        <v>2240</v>
      </c>
      <c r="C672" s="33" t="s">
        <v>432</v>
      </c>
      <c r="D672" s="33" t="s">
        <v>430</v>
      </c>
      <c r="E672" s="33">
        <v>4.2868220520359497</v>
      </c>
    </row>
    <row r="673" spans="1:5">
      <c r="A673" s="33" t="e">
        <f>COUNTIF([1]Regions!$D$3:$D$30,BillionEURNEWAGE!$B673)&gt;0</f>
        <v>#VALUE!</v>
      </c>
      <c r="B673" s="33" t="s">
        <v>2241</v>
      </c>
      <c r="C673" s="33" t="s">
        <v>432</v>
      </c>
      <c r="D673" s="33" t="s">
        <v>401</v>
      </c>
      <c r="E673" s="33">
        <v>3.2002073952127099</v>
      </c>
    </row>
    <row r="674" spans="1:5">
      <c r="A674" s="33" t="e">
        <f>COUNTIF([1]Regions!$D$3:$D$30,BillionEURNEWAGE!$B674)&gt;0</f>
        <v>#VALUE!</v>
      </c>
      <c r="B674" s="33" t="s">
        <v>2241</v>
      </c>
      <c r="C674" s="33" t="s">
        <v>432</v>
      </c>
      <c r="D674" s="33" t="s">
        <v>402</v>
      </c>
      <c r="E674" s="33">
        <v>0.689815313475034</v>
      </c>
    </row>
    <row r="675" spans="1:5">
      <c r="A675" s="33" t="e">
        <f>COUNTIF([1]Regions!$D$3:$D$30,BillionEURNEWAGE!$B675)&gt;0</f>
        <v>#VALUE!</v>
      </c>
      <c r="B675" s="33" t="s">
        <v>2241</v>
      </c>
      <c r="C675" s="33" t="s">
        <v>432</v>
      </c>
      <c r="D675" s="33" t="s">
        <v>404</v>
      </c>
      <c r="E675" s="33">
        <v>1.24490059470923</v>
      </c>
    </row>
    <row r="676" spans="1:5">
      <c r="A676" s="33" t="e">
        <f>COUNTIF([1]Regions!$D$3:$D$30,BillionEURNEWAGE!$B676)&gt;0</f>
        <v>#VALUE!</v>
      </c>
      <c r="B676" s="33" t="s">
        <v>2241</v>
      </c>
      <c r="C676" s="33" t="s">
        <v>432</v>
      </c>
      <c r="D676" s="33" t="s">
        <v>406</v>
      </c>
      <c r="E676" s="33">
        <v>7.3398627879712797E-2</v>
      </c>
    </row>
    <row r="677" spans="1:5">
      <c r="A677" s="33" t="e">
        <f>COUNTIF([1]Regions!$D$3:$D$30,BillionEURNEWAGE!$B677)&gt;0</f>
        <v>#VALUE!</v>
      </c>
      <c r="B677" s="33" t="s">
        <v>2241</v>
      </c>
      <c r="C677" s="33" t="s">
        <v>432</v>
      </c>
      <c r="D677" s="33" t="s">
        <v>408</v>
      </c>
      <c r="E677" s="33">
        <v>5.59939258114366E-3</v>
      </c>
    </row>
    <row r="678" spans="1:5">
      <c r="A678" s="33" t="e">
        <f>COUNTIF([1]Regions!$D$3:$D$30,BillionEURNEWAGE!$B678)&gt;0</f>
        <v>#VALUE!</v>
      </c>
      <c r="B678" s="33" t="s">
        <v>2241</v>
      </c>
      <c r="C678" s="33" t="s">
        <v>432</v>
      </c>
      <c r="D678" s="33" t="s">
        <v>410</v>
      </c>
      <c r="E678" s="33">
        <v>10.0041168107833</v>
      </c>
    </row>
    <row r="679" spans="1:5">
      <c r="A679" s="33" t="e">
        <f>COUNTIF([1]Regions!$D$3:$D$30,BillionEURNEWAGE!$B679)&gt;0</f>
        <v>#VALUE!</v>
      </c>
      <c r="B679" s="33" t="s">
        <v>2241</v>
      </c>
      <c r="C679" s="33" t="s">
        <v>432</v>
      </c>
      <c r="D679" s="33" t="s">
        <v>411</v>
      </c>
      <c r="E679" s="33">
        <v>0.31685775784645398</v>
      </c>
    </row>
    <row r="680" spans="1:5">
      <c r="A680" s="33" t="e">
        <f>COUNTIF([1]Regions!$D$3:$D$30,BillionEURNEWAGE!$B680)&gt;0</f>
        <v>#VALUE!</v>
      </c>
      <c r="B680" s="33" t="s">
        <v>2241</v>
      </c>
      <c r="C680" s="33" t="s">
        <v>432</v>
      </c>
      <c r="D680" s="33" t="s">
        <v>413</v>
      </c>
      <c r="E680" s="33">
        <v>6.1956631959713699E-3</v>
      </c>
    </row>
    <row r="681" spans="1:5">
      <c r="A681" s="33" t="e">
        <f>COUNTIF([1]Regions!$D$3:$D$30,BillionEURNEWAGE!$B681)&gt;0</f>
        <v>#VALUE!</v>
      </c>
      <c r="B681" s="33" t="s">
        <v>2241</v>
      </c>
      <c r="C681" s="33" t="s">
        <v>432</v>
      </c>
      <c r="D681" s="33" t="s">
        <v>414</v>
      </c>
      <c r="E681" s="34">
        <v>3.1871113847986701E-6</v>
      </c>
    </row>
    <row r="682" spans="1:5">
      <c r="A682" s="33" t="e">
        <f>COUNTIF([1]Regions!$D$3:$D$30,BillionEURNEWAGE!$B682)&gt;0</f>
        <v>#VALUE!</v>
      </c>
      <c r="B682" s="33" t="s">
        <v>2241</v>
      </c>
      <c r="C682" s="33" t="s">
        <v>432</v>
      </c>
      <c r="D682" s="33" t="s">
        <v>416</v>
      </c>
      <c r="E682" s="33">
        <v>6.71704551844324</v>
      </c>
    </row>
    <row r="683" spans="1:5">
      <c r="A683" s="33" t="e">
        <f>COUNTIF([1]Regions!$D$3:$D$30,BillionEURNEWAGE!$B683)&gt;0</f>
        <v>#VALUE!</v>
      </c>
      <c r="B683" s="33" t="s">
        <v>2241</v>
      </c>
      <c r="C683" s="33" t="s">
        <v>432</v>
      </c>
      <c r="D683" s="33" t="s">
        <v>418</v>
      </c>
      <c r="E683" s="33">
        <v>3.02300467454239E-3</v>
      </c>
    </row>
    <row r="684" spans="1:5">
      <c r="A684" s="33" t="e">
        <f>COUNTIF([1]Regions!$D$3:$D$30,BillionEURNEWAGE!$B684)&gt;0</f>
        <v>#VALUE!</v>
      </c>
      <c r="B684" s="33" t="s">
        <v>2241</v>
      </c>
      <c r="C684" s="33" t="s">
        <v>432</v>
      </c>
      <c r="D684" s="33" t="s">
        <v>420</v>
      </c>
      <c r="E684" s="33">
        <v>6.2607598485528397</v>
      </c>
    </row>
    <row r="685" spans="1:5">
      <c r="A685" s="33" t="e">
        <f>COUNTIF([1]Regions!$D$3:$D$30,BillionEURNEWAGE!$B685)&gt;0</f>
        <v>#VALUE!</v>
      </c>
      <c r="B685" s="33" t="s">
        <v>2241</v>
      </c>
      <c r="C685" s="33" t="s">
        <v>432</v>
      </c>
      <c r="D685" s="33" t="s">
        <v>421</v>
      </c>
      <c r="E685" s="33">
        <v>14.272294882652201</v>
      </c>
    </row>
    <row r="686" spans="1:5">
      <c r="A686" s="33" t="e">
        <f>COUNTIF([1]Regions!$D$3:$D$30,BillionEURNEWAGE!$B686)&gt;0</f>
        <v>#VALUE!</v>
      </c>
      <c r="B686" s="33" t="s">
        <v>2241</v>
      </c>
      <c r="C686" s="33" t="s">
        <v>432</v>
      </c>
      <c r="D686" s="33" t="s">
        <v>423</v>
      </c>
      <c r="E686" s="33">
        <v>17.3713706628517</v>
      </c>
    </row>
    <row r="687" spans="1:5">
      <c r="A687" s="33" t="e">
        <f>COUNTIF([1]Regions!$D$3:$D$30,BillionEURNEWAGE!$B687)&gt;0</f>
        <v>#VALUE!</v>
      </c>
      <c r="B687" s="33" t="s">
        <v>2241</v>
      </c>
      <c r="C687" s="33" t="s">
        <v>432</v>
      </c>
      <c r="D687" s="33" t="s">
        <v>425</v>
      </c>
      <c r="E687" s="33">
        <v>2.1766836149609899E-2</v>
      </c>
    </row>
    <row r="688" spans="1:5">
      <c r="A688" s="33" t="e">
        <f>COUNTIF([1]Regions!$D$3:$D$30,BillionEURNEWAGE!$B688)&gt;0</f>
        <v>#VALUE!</v>
      </c>
      <c r="B688" s="33" t="s">
        <v>2241</v>
      </c>
      <c r="C688" s="33" t="s">
        <v>432</v>
      </c>
      <c r="D688" s="33" t="s">
        <v>427</v>
      </c>
      <c r="E688" s="33">
        <v>3.6458348911267602</v>
      </c>
    </row>
    <row r="689" spans="1:5">
      <c r="A689" s="33" t="e">
        <f>COUNTIF([1]Regions!$D$3:$D$30,BillionEURNEWAGE!$B689)&gt;0</f>
        <v>#VALUE!</v>
      </c>
      <c r="B689" s="33" t="s">
        <v>2241</v>
      </c>
      <c r="C689" s="33" t="s">
        <v>432</v>
      </c>
      <c r="D689" s="33" t="s">
        <v>429</v>
      </c>
      <c r="E689" s="33">
        <v>4.36982292638573</v>
      </c>
    </row>
    <row r="690" spans="1:5">
      <c r="A690" s="33" t="e">
        <f>COUNTIF([1]Regions!$D$3:$D$30,BillionEURNEWAGE!$B690)&gt;0</f>
        <v>#VALUE!</v>
      </c>
      <c r="B690" s="33" t="s">
        <v>2241</v>
      </c>
      <c r="C690" s="33" t="s">
        <v>432</v>
      </c>
      <c r="D690" s="33" t="s">
        <v>430</v>
      </c>
      <c r="E690" s="33">
        <v>20.601488644517499</v>
      </c>
    </row>
    <row r="691" spans="1:5">
      <c r="A691" s="33" t="e">
        <f>COUNTIF([1]Regions!$D$3:$D$30,BillionEURNEWAGE!$B691)&gt;0</f>
        <v>#VALUE!</v>
      </c>
      <c r="B691" s="33" t="s">
        <v>2242</v>
      </c>
      <c r="C691" s="33" t="s">
        <v>432</v>
      </c>
      <c r="D691" s="33" t="s">
        <v>401</v>
      </c>
      <c r="E691" s="33">
        <v>0.54986338458897199</v>
      </c>
    </row>
    <row r="692" spans="1:5">
      <c r="A692" s="33" t="e">
        <f>COUNTIF([1]Regions!$D$3:$D$30,BillionEURNEWAGE!$B692)&gt;0</f>
        <v>#VALUE!</v>
      </c>
      <c r="B692" s="33" t="s">
        <v>2242</v>
      </c>
      <c r="C692" s="33" t="s">
        <v>432</v>
      </c>
      <c r="D692" s="33" t="s">
        <v>402</v>
      </c>
      <c r="E692" s="33">
        <v>0.207049817916685</v>
      </c>
    </row>
    <row r="693" spans="1:5">
      <c r="A693" s="33" t="e">
        <f>COUNTIF([1]Regions!$D$3:$D$30,BillionEURNEWAGE!$B693)&gt;0</f>
        <v>#VALUE!</v>
      </c>
      <c r="B693" s="33" t="s">
        <v>2242</v>
      </c>
      <c r="C693" s="33" t="s">
        <v>432</v>
      </c>
      <c r="D693" s="33" t="s">
        <v>404</v>
      </c>
      <c r="E693" s="33">
        <v>0.46553173042923202</v>
      </c>
    </row>
    <row r="694" spans="1:5">
      <c r="A694" s="33" t="e">
        <f>COUNTIF([1]Regions!$D$3:$D$30,BillionEURNEWAGE!$B694)&gt;0</f>
        <v>#VALUE!</v>
      </c>
      <c r="B694" s="33" t="s">
        <v>2242</v>
      </c>
      <c r="C694" s="33" t="s">
        <v>432</v>
      </c>
      <c r="D694" s="33" t="s">
        <v>406</v>
      </c>
      <c r="E694" s="33">
        <v>0.94009238115898897</v>
      </c>
    </row>
    <row r="695" spans="1:5">
      <c r="A695" s="33" t="e">
        <f>COUNTIF([1]Regions!$D$3:$D$30,BillionEURNEWAGE!$B695)&gt;0</f>
        <v>#VALUE!</v>
      </c>
      <c r="B695" s="33" t="s">
        <v>2242</v>
      </c>
      <c r="C695" s="33" t="s">
        <v>432</v>
      </c>
      <c r="D695" s="33" t="s">
        <v>408</v>
      </c>
      <c r="E695" s="33">
        <v>4.5644147356424898E-3</v>
      </c>
    </row>
    <row r="696" spans="1:5">
      <c r="A696" s="33" t="e">
        <f>COUNTIF([1]Regions!$D$3:$D$30,BillionEURNEWAGE!$B696)&gt;0</f>
        <v>#VALUE!</v>
      </c>
      <c r="B696" s="33" t="s">
        <v>2242</v>
      </c>
      <c r="C696" s="33" t="s">
        <v>432</v>
      </c>
      <c r="D696" s="33" t="s">
        <v>410</v>
      </c>
      <c r="E696" s="33">
        <v>15.0846071014457</v>
      </c>
    </row>
    <row r="697" spans="1:5">
      <c r="A697" s="33" t="e">
        <f>COUNTIF([1]Regions!$D$3:$D$30,BillionEURNEWAGE!$B697)&gt;0</f>
        <v>#VALUE!</v>
      </c>
      <c r="B697" s="33" t="s">
        <v>2242</v>
      </c>
      <c r="C697" s="33" t="s">
        <v>432</v>
      </c>
      <c r="D697" s="33" t="s">
        <v>411</v>
      </c>
      <c r="E697" s="33">
        <v>2.13323888293355E-2</v>
      </c>
    </row>
    <row r="698" spans="1:5">
      <c r="A698" s="33" t="e">
        <f>COUNTIF([1]Regions!$D$3:$D$30,BillionEURNEWAGE!$B698)&gt;0</f>
        <v>#VALUE!</v>
      </c>
      <c r="B698" s="33" t="s">
        <v>2242</v>
      </c>
      <c r="C698" s="33" t="s">
        <v>432</v>
      </c>
      <c r="D698" s="33" t="s">
        <v>413</v>
      </c>
      <c r="E698" s="33">
        <v>2.9647187876749698E-3</v>
      </c>
    </row>
    <row r="699" spans="1:5">
      <c r="A699" s="33" t="e">
        <f>COUNTIF([1]Regions!$D$3:$D$30,BillionEURNEWAGE!$B699)&gt;0</f>
        <v>#VALUE!</v>
      </c>
      <c r="B699" s="33" t="s">
        <v>2242</v>
      </c>
      <c r="C699" s="33" t="s">
        <v>432</v>
      </c>
      <c r="D699" s="33" t="s">
        <v>416</v>
      </c>
      <c r="E699" s="33">
        <v>11.7711245386374</v>
      </c>
    </row>
    <row r="700" spans="1:5">
      <c r="A700" s="33" t="e">
        <f>COUNTIF([1]Regions!$D$3:$D$30,BillionEURNEWAGE!$B700)&gt;0</f>
        <v>#VALUE!</v>
      </c>
      <c r="B700" s="33" t="s">
        <v>2242</v>
      </c>
      <c r="C700" s="33" t="s">
        <v>432</v>
      </c>
      <c r="D700" s="33" t="s">
        <v>418</v>
      </c>
      <c r="E700" s="33">
        <v>1.9328990988976401E-4</v>
      </c>
    </row>
    <row r="701" spans="1:5">
      <c r="A701" s="33" t="e">
        <f>COUNTIF([1]Regions!$D$3:$D$30,BillionEURNEWAGE!$B701)&gt;0</f>
        <v>#VALUE!</v>
      </c>
      <c r="B701" s="33" t="s">
        <v>2242</v>
      </c>
      <c r="C701" s="33" t="s">
        <v>432</v>
      </c>
      <c r="D701" s="33" t="s">
        <v>420</v>
      </c>
      <c r="E701" s="33">
        <v>8.8910972275866005</v>
      </c>
    </row>
    <row r="702" spans="1:5">
      <c r="A702" s="33" t="e">
        <f>COUNTIF([1]Regions!$D$3:$D$30,BillionEURNEWAGE!$B702)&gt;0</f>
        <v>#VALUE!</v>
      </c>
      <c r="B702" s="33" t="s">
        <v>2242</v>
      </c>
      <c r="C702" s="33" t="s">
        <v>432</v>
      </c>
      <c r="D702" s="33" t="s">
        <v>421</v>
      </c>
      <c r="E702" s="33">
        <v>12.8377091573473</v>
      </c>
    </row>
    <row r="703" spans="1:5">
      <c r="A703" s="33" t="e">
        <f>COUNTIF([1]Regions!$D$3:$D$30,BillionEURNEWAGE!$B703)&gt;0</f>
        <v>#VALUE!</v>
      </c>
      <c r="B703" s="33" t="s">
        <v>2242</v>
      </c>
      <c r="C703" s="33" t="s">
        <v>432</v>
      </c>
      <c r="D703" s="33" t="s">
        <v>423</v>
      </c>
      <c r="E703" s="33">
        <v>18.918053793124301</v>
      </c>
    </row>
    <row r="704" spans="1:5">
      <c r="A704" s="33" t="e">
        <f>COUNTIF([1]Regions!$D$3:$D$30,BillionEURNEWAGE!$B704)&gt;0</f>
        <v>#VALUE!</v>
      </c>
      <c r="B704" s="33" t="s">
        <v>2242</v>
      </c>
      <c r="C704" s="33" t="s">
        <v>432</v>
      </c>
      <c r="D704" s="33" t="s">
        <v>425</v>
      </c>
      <c r="E704" s="34">
        <v>2.2339582356704002E-5</v>
      </c>
    </row>
    <row r="705" spans="1:5">
      <c r="A705" s="33" t="e">
        <f>COUNTIF([1]Regions!$D$3:$D$30,BillionEURNEWAGE!$B705)&gt;0</f>
        <v>#VALUE!</v>
      </c>
      <c r="B705" s="33" t="s">
        <v>2242</v>
      </c>
      <c r="C705" s="33" t="s">
        <v>432</v>
      </c>
      <c r="D705" s="33" t="s">
        <v>427</v>
      </c>
      <c r="E705" s="33">
        <v>5.46783174102828</v>
      </c>
    </row>
    <row r="706" spans="1:5">
      <c r="A706" s="33" t="e">
        <f>COUNTIF([1]Regions!$D$3:$D$30,BillionEURNEWAGE!$B706)&gt;0</f>
        <v>#VALUE!</v>
      </c>
      <c r="B706" s="33" t="s">
        <v>2242</v>
      </c>
      <c r="C706" s="33" t="s">
        <v>432</v>
      </c>
      <c r="D706" s="33" t="s">
        <v>429</v>
      </c>
      <c r="E706" s="33">
        <v>3.6900451967021701</v>
      </c>
    </row>
    <row r="707" spans="1:5">
      <c r="A707" s="33" t="e">
        <f>COUNTIF([1]Regions!$D$3:$D$30,BillionEURNEWAGE!$B707)&gt;0</f>
        <v>#VALUE!</v>
      </c>
      <c r="B707" s="33" t="s">
        <v>2242</v>
      </c>
      <c r="C707" s="33" t="s">
        <v>432</v>
      </c>
      <c r="D707" s="33" t="s">
        <v>430</v>
      </c>
      <c r="E707" s="33">
        <v>14.984973979198999</v>
      </c>
    </row>
    <row r="708" spans="1:5">
      <c r="A708" s="33" t="e">
        <f>COUNTIF([1]Regions!$D$3:$D$30,BillionEURNEWAGE!$B708)&gt;0</f>
        <v>#VALUE!</v>
      </c>
      <c r="B708" s="33" t="s">
        <v>2243</v>
      </c>
      <c r="C708" s="33" t="s">
        <v>432</v>
      </c>
      <c r="D708" s="33" t="s">
        <v>401</v>
      </c>
      <c r="E708" s="33">
        <v>3.57650177462153</v>
      </c>
    </row>
    <row r="709" spans="1:5">
      <c r="A709" s="33" t="e">
        <f>COUNTIF([1]Regions!$D$3:$D$30,BillionEURNEWAGE!$B709)&gt;0</f>
        <v>#VALUE!</v>
      </c>
      <c r="B709" s="33" t="s">
        <v>2243</v>
      </c>
      <c r="C709" s="33" t="s">
        <v>432</v>
      </c>
      <c r="D709" s="33" t="s">
        <v>402</v>
      </c>
      <c r="E709" s="33">
        <v>0.159321914817105</v>
      </c>
    </row>
    <row r="710" spans="1:5">
      <c r="A710" s="33" t="e">
        <f>COUNTIF([1]Regions!$D$3:$D$30,BillionEURNEWAGE!$B710)&gt;0</f>
        <v>#VALUE!</v>
      </c>
      <c r="B710" s="33" t="s">
        <v>2243</v>
      </c>
      <c r="C710" s="33" t="s">
        <v>432</v>
      </c>
      <c r="D710" s="33" t="s">
        <v>404</v>
      </c>
      <c r="E710" s="33">
        <v>3.5516937569992102</v>
      </c>
    </row>
    <row r="711" spans="1:5">
      <c r="A711" s="33" t="e">
        <f>COUNTIF([1]Regions!$D$3:$D$30,BillionEURNEWAGE!$B711)&gt;0</f>
        <v>#VALUE!</v>
      </c>
      <c r="B711" s="33" t="s">
        <v>2243</v>
      </c>
      <c r="C711" s="33" t="s">
        <v>432</v>
      </c>
      <c r="D711" s="33" t="s">
        <v>406</v>
      </c>
      <c r="E711" s="33">
        <v>0.53815805492880597</v>
      </c>
    </row>
    <row r="712" spans="1:5">
      <c r="A712" s="33" t="e">
        <f>COUNTIF([1]Regions!$D$3:$D$30,BillionEURNEWAGE!$B712)&gt;0</f>
        <v>#VALUE!</v>
      </c>
      <c r="B712" s="33" t="s">
        <v>2243</v>
      </c>
      <c r="C712" s="33" t="s">
        <v>432</v>
      </c>
      <c r="D712" s="33" t="s">
        <v>408</v>
      </c>
      <c r="E712" s="33">
        <v>6.0461428748804197E-2</v>
      </c>
    </row>
    <row r="713" spans="1:5">
      <c r="A713" s="33" t="e">
        <f>COUNTIF([1]Regions!$D$3:$D$30,BillionEURNEWAGE!$B713)&gt;0</f>
        <v>#VALUE!</v>
      </c>
      <c r="B713" s="33" t="s">
        <v>2243</v>
      </c>
      <c r="C713" s="33" t="s">
        <v>432</v>
      </c>
      <c r="D713" s="33" t="s">
        <v>410</v>
      </c>
      <c r="E713" s="33">
        <v>28.178780701989499</v>
      </c>
    </row>
    <row r="714" spans="1:5">
      <c r="A714" s="33" t="e">
        <f>COUNTIF([1]Regions!$D$3:$D$30,BillionEURNEWAGE!$B714)&gt;0</f>
        <v>#VALUE!</v>
      </c>
      <c r="B714" s="33" t="s">
        <v>2243</v>
      </c>
      <c r="C714" s="33" t="s">
        <v>432</v>
      </c>
      <c r="D714" s="33" t="s">
        <v>411</v>
      </c>
      <c r="E714" s="33">
        <v>0.21687653601749099</v>
      </c>
    </row>
    <row r="715" spans="1:5">
      <c r="A715" s="33" t="e">
        <f>COUNTIF([1]Regions!$D$3:$D$30,BillionEURNEWAGE!$B715)&gt;0</f>
        <v>#VALUE!</v>
      </c>
      <c r="B715" s="33" t="s">
        <v>2243</v>
      </c>
      <c r="C715" s="33" t="s">
        <v>432</v>
      </c>
      <c r="D715" s="33" t="s">
        <v>413</v>
      </c>
      <c r="E715" s="33">
        <v>4.4387504613173E-2</v>
      </c>
    </row>
    <row r="716" spans="1:5">
      <c r="A716" s="33" t="e">
        <f>COUNTIF([1]Regions!$D$3:$D$30,BillionEURNEWAGE!$B716)&gt;0</f>
        <v>#VALUE!</v>
      </c>
      <c r="B716" s="33" t="s">
        <v>2243</v>
      </c>
      <c r="C716" s="33" t="s">
        <v>432</v>
      </c>
      <c r="D716" s="33" t="s">
        <v>414</v>
      </c>
      <c r="E716" s="34">
        <v>4.4482644132927801E-6</v>
      </c>
    </row>
    <row r="717" spans="1:5">
      <c r="A717" s="33" t="e">
        <f>COUNTIF([1]Regions!$D$3:$D$30,BillionEURNEWAGE!$B717)&gt;0</f>
        <v>#VALUE!</v>
      </c>
      <c r="B717" s="33" t="s">
        <v>2243</v>
      </c>
      <c r="C717" s="33" t="s">
        <v>432</v>
      </c>
      <c r="D717" s="33" t="s">
        <v>416</v>
      </c>
      <c r="E717" s="33">
        <v>20.798457595426001</v>
      </c>
    </row>
    <row r="718" spans="1:5">
      <c r="A718" s="33" t="e">
        <f>COUNTIF([1]Regions!$D$3:$D$30,BillionEURNEWAGE!$B718)&gt;0</f>
        <v>#VALUE!</v>
      </c>
      <c r="B718" s="33" t="s">
        <v>2243</v>
      </c>
      <c r="C718" s="33" t="s">
        <v>432</v>
      </c>
      <c r="D718" s="33" t="s">
        <v>418</v>
      </c>
      <c r="E718" s="33">
        <v>4.2445977336362803E-3</v>
      </c>
    </row>
    <row r="719" spans="1:5">
      <c r="A719" s="33" t="e">
        <f>COUNTIF([1]Regions!$D$3:$D$30,BillionEURNEWAGE!$B719)&gt;0</f>
        <v>#VALUE!</v>
      </c>
      <c r="B719" s="33" t="s">
        <v>2243</v>
      </c>
      <c r="C719" s="33" t="s">
        <v>432</v>
      </c>
      <c r="D719" s="33" t="s">
        <v>420</v>
      </c>
      <c r="E719" s="33">
        <v>15.1705750348238</v>
      </c>
    </row>
    <row r="720" spans="1:5">
      <c r="A720" s="33" t="e">
        <f>COUNTIF([1]Regions!$D$3:$D$30,BillionEURNEWAGE!$B720)&gt;0</f>
        <v>#VALUE!</v>
      </c>
      <c r="B720" s="33" t="s">
        <v>2243</v>
      </c>
      <c r="C720" s="33" t="s">
        <v>432</v>
      </c>
      <c r="D720" s="33" t="s">
        <v>421</v>
      </c>
      <c r="E720" s="33">
        <v>26.103017399905799</v>
      </c>
    </row>
    <row r="721" spans="1:5">
      <c r="A721" s="33" t="e">
        <f>COUNTIF([1]Regions!$D$3:$D$30,BillionEURNEWAGE!$B721)&gt;0</f>
        <v>#VALUE!</v>
      </c>
      <c r="B721" s="33" t="s">
        <v>2243</v>
      </c>
      <c r="C721" s="33" t="s">
        <v>432</v>
      </c>
      <c r="D721" s="33" t="s">
        <v>423</v>
      </c>
      <c r="E721" s="33">
        <v>40.756685532820001</v>
      </c>
    </row>
    <row r="722" spans="1:5">
      <c r="A722" s="33" t="e">
        <f>COUNTIF([1]Regions!$D$3:$D$30,BillionEURNEWAGE!$B722)&gt;0</f>
        <v>#VALUE!</v>
      </c>
      <c r="B722" s="33" t="s">
        <v>2243</v>
      </c>
      <c r="C722" s="33" t="s">
        <v>432</v>
      </c>
      <c r="D722" s="33" t="s">
        <v>425</v>
      </c>
      <c r="E722" s="33">
        <v>4.8328186809117303E-2</v>
      </c>
    </row>
    <row r="723" spans="1:5">
      <c r="A723" s="33" t="e">
        <f>COUNTIF([1]Regions!$D$3:$D$30,BillionEURNEWAGE!$B723)&gt;0</f>
        <v>#VALUE!</v>
      </c>
      <c r="B723" s="33" t="s">
        <v>2243</v>
      </c>
      <c r="C723" s="33" t="s">
        <v>432</v>
      </c>
      <c r="D723" s="33" t="s">
        <v>427</v>
      </c>
      <c r="E723" s="33">
        <v>15.3495273977686</v>
      </c>
    </row>
    <row r="724" spans="1:5">
      <c r="A724" s="33" t="e">
        <f>COUNTIF([1]Regions!$D$3:$D$30,BillionEURNEWAGE!$B724)&gt;0</f>
        <v>#VALUE!</v>
      </c>
      <c r="B724" s="33" t="s">
        <v>2243</v>
      </c>
      <c r="C724" s="33" t="s">
        <v>432</v>
      </c>
      <c r="D724" s="33" t="s">
        <v>429</v>
      </c>
      <c r="E724" s="33">
        <v>6.4761035564166596</v>
      </c>
    </row>
    <row r="725" spans="1:5">
      <c r="A725" s="33" t="e">
        <f>COUNTIF([1]Regions!$D$3:$D$30,BillionEURNEWAGE!$B725)&gt;0</f>
        <v>#VALUE!</v>
      </c>
      <c r="B725" s="33" t="s">
        <v>2243</v>
      </c>
      <c r="C725" s="33" t="s">
        <v>432</v>
      </c>
      <c r="D725" s="33" t="s">
        <v>430</v>
      </c>
      <c r="E725" s="33">
        <v>37.311630570758098</v>
      </c>
    </row>
    <row r="726" spans="1:5">
      <c r="A726" s="33" t="e">
        <f>COUNTIF([1]Regions!$D$3:$D$30,BillionEURNEWAGE!$B726)&gt;0</f>
        <v>#VALUE!</v>
      </c>
      <c r="B726" s="33" t="s">
        <v>2244</v>
      </c>
      <c r="C726" s="33" t="s">
        <v>432</v>
      </c>
      <c r="D726" s="33" t="s">
        <v>401</v>
      </c>
      <c r="E726" s="33">
        <v>3.4847549357107801</v>
      </c>
    </row>
    <row r="727" spans="1:5">
      <c r="A727" s="33" t="e">
        <f>COUNTIF([1]Regions!$D$3:$D$30,BillionEURNEWAGE!$B727)&gt;0</f>
        <v>#VALUE!</v>
      </c>
      <c r="B727" s="33" t="s">
        <v>2244</v>
      </c>
      <c r="C727" s="33" t="s">
        <v>432</v>
      </c>
      <c r="D727" s="33" t="s">
        <v>402</v>
      </c>
      <c r="E727" s="33">
        <v>1.46095374977613</v>
      </c>
    </row>
    <row r="728" spans="1:5">
      <c r="A728" s="33" t="e">
        <f>COUNTIF([1]Regions!$D$3:$D$30,BillionEURNEWAGE!$B728)&gt;0</f>
        <v>#VALUE!</v>
      </c>
      <c r="B728" s="33" t="s">
        <v>2244</v>
      </c>
      <c r="C728" s="33" t="s">
        <v>432</v>
      </c>
      <c r="D728" s="33" t="s">
        <v>404</v>
      </c>
      <c r="E728" s="33">
        <v>2.0848115697782501</v>
      </c>
    </row>
    <row r="729" spans="1:5">
      <c r="A729" s="33" t="e">
        <f>COUNTIF([1]Regions!$D$3:$D$30,BillionEURNEWAGE!$B729)&gt;0</f>
        <v>#VALUE!</v>
      </c>
      <c r="B729" s="33" t="s">
        <v>2244</v>
      </c>
      <c r="C729" s="33" t="s">
        <v>432</v>
      </c>
      <c r="D729" s="33" t="s">
        <v>406</v>
      </c>
      <c r="E729" s="33">
        <v>0.46261132119966297</v>
      </c>
    </row>
    <row r="730" spans="1:5">
      <c r="A730" s="33" t="e">
        <f>COUNTIF([1]Regions!$D$3:$D$30,BillionEURNEWAGE!$B730)&gt;0</f>
        <v>#VALUE!</v>
      </c>
      <c r="B730" s="33" t="s">
        <v>2244</v>
      </c>
      <c r="C730" s="33" t="s">
        <v>432</v>
      </c>
      <c r="D730" s="33" t="s">
        <v>408</v>
      </c>
      <c r="E730" s="33">
        <v>3.3463305333638803E-2</v>
      </c>
    </row>
    <row r="731" spans="1:5">
      <c r="A731" s="33" t="e">
        <f>COUNTIF([1]Regions!$D$3:$D$30,BillionEURNEWAGE!$B731)&gt;0</f>
        <v>#VALUE!</v>
      </c>
      <c r="B731" s="33" t="s">
        <v>2244</v>
      </c>
      <c r="C731" s="33" t="s">
        <v>432</v>
      </c>
      <c r="D731" s="33" t="s">
        <v>410</v>
      </c>
      <c r="E731" s="33">
        <v>18.273167862035201</v>
      </c>
    </row>
    <row r="732" spans="1:5">
      <c r="A732" s="33" t="e">
        <f>COUNTIF([1]Regions!$D$3:$D$30,BillionEURNEWAGE!$B732)&gt;0</f>
        <v>#VALUE!</v>
      </c>
      <c r="B732" s="33" t="s">
        <v>2244</v>
      </c>
      <c r="C732" s="33" t="s">
        <v>432</v>
      </c>
      <c r="D732" s="33" t="s">
        <v>411</v>
      </c>
      <c r="E732" s="33">
        <v>0.51913759969096096</v>
      </c>
    </row>
    <row r="733" spans="1:5">
      <c r="A733" s="33" t="e">
        <f>COUNTIF([1]Regions!$D$3:$D$30,BillionEURNEWAGE!$B733)&gt;0</f>
        <v>#VALUE!</v>
      </c>
      <c r="B733" s="33" t="s">
        <v>2244</v>
      </c>
      <c r="C733" s="33" t="s">
        <v>432</v>
      </c>
      <c r="D733" s="33" t="s">
        <v>413</v>
      </c>
      <c r="E733" s="33">
        <v>1.64825723789245E-2</v>
      </c>
    </row>
    <row r="734" spans="1:5">
      <c r="A734" s="33" t="e">
        <f>COUNTIF([1]Regions!$D$3:$D$30,BillionEURNEWAGE!$B734)&gt;0</f>
        <v>#VALUE!</v>
      </c>
      <c r="B734" s="33" t="s">
        <v>2244</v>
      </c>
      <c r="C734" s="33" t="s">
        <v>432</v>
      </c>
      <c r="D734" s="33" t="s">
        <v>414</v>
      </c>
      <c r="E734" s="34">
        <v>2.32877137278023E-6</v>
      </c>
    </row>
    <row r="735" spans="1:5">
      <c r="A735" s="33" t="e">
        <f>COUNTIF([1]Regions!$D$3:$D$30,BillionEURNEWAGE!$B735)&gt;0</f>
        <v>#VALUE!</v>
      </c>
      <c r="B735" s="33" t="s">
        <v>2244</v>
      </c>
      <c r="C735" s="33" t="s">
        <v>432</v>
      </c>
      <c r="D735" s="33" t="s">
        <v>416</v>
      </c>
      <c r="E735" s="33">
        <v>11.2242092025595</v>
      </c>
    </row>
    <row r="736" spans="1:5">
      <c r="A736" s="33" t="e">
        <f>COUNTIF([1]Regions!$D$3:$D$30,BillionEURNEWAGE!$B736)&gt;0</f>
        <v>#VALUE!</v>
      </c>
      <c r="B736" s="33" t="s">
        <v>2244</v>
      </c>
      <c r="C736" s="33" t="s">
        <v>432</v>
      </c>
      <c r="D736" s="33" t="s">
        <v>418</v>
      </c>
      <c r="E736" s="33">
        <v>3.9251714217184201E-2</v>
      </c>
    </row>
    <row r="737" spans="1:5">
      <c r="A737" s="33" t="e">
        <f>COUNTIF([1]Regions!$D$3:$D$30,BillionEURNEWAGE!$B737)&gt;0</f>
        <v>#VALUE!</v>
      </c>
      <c r="B737" s="33" t="s">
        <v>2244</v>
      </c>
      <c r="C737" s="33" t="s">
        <v>432</v>
      </c>
      <c r="D737" s="33" t="s">
        <v>420</v>
      </c>
      <c r="E737" s="33">
        <v>9.4272006266943205</v>
      </c>
    </row>
    <row r="738" spans="1:5">
      <c r="A738" s="33" t="e">
        <f>COUNTIF([1]Regions!$D$3:$D$30,BillionEURNEWAGE!$B738)&gt;0</f>
        <v>#VALUE!</v>
      </c>
      <c r="B738" s="33" t="s">
        <v>2244</v>
      </c>
      <c r="C738" s="33" t="s">
        <v>432</v>
      </c>
      <c r="D738" s="33" t="s">
        <v>421</v>
      </c>
      <c r="E738" s="33">
        <v>16.9280415846784</v>
      </c>
    </row>
    <row r="739" spans="1:5">
      <c r="A739" s="33" t="e">
        <f>COUNTIF([1]Regions!$D$3:$D$30,BillionEURNEWAGE!$B739)&gt;0</f>
        <v>#VALUE!</v>
      </c>
      <c r="B739" s="33" t="s">
        <v>2244</v>
      </c>
      <c r="C739" s="33" t="s">
        <v>432</v>
      </c>
      <c r="D739" s="33" t="s">
        <v>423</v>
      </c>
      <c r="E739" s="33">
        <v>24.990694401188101</v>
      </c>
    </row>
    <row r="740" spans="1:5">
      <c r="A740" s="33" t="e">
        <f>COUNTIF([1]Regions!$D$3:$D$30,BillionEURNEWAGE!$B740)&gt;0</f>
        <v>#VALUE!</v>
      </c>
      <c r="B740" s="33" t="s">
        <v>2244</v>
      </c>
      <c r="C740" s="33" t="s">
        <v>432</v>
      </c>
      <c r="D740" s="33" t="s">
        <v>425</v>
      </c>
      <c r="E740" s="33">
        <v>9.0156742405673104E-3</v>
      </c>
    </row>
    <row r="741" spans="1:5">
      <c r="A741" s="33" t="e">
        <f>COUNTIF([1]Regions!$D$3:$D$30,BillionEURNEWAGE!$B741)&gt;0</f>
        <v>#VALUE!</v>
      </c>
      <c r="B741" s="33" t="s">
        <v>2244</v>
      </c>
      <c r="C741" s="33" t="s">
        <v>432</v>
      </c>
      <c r="D741" s="33" t="s">
        <v>427</v>
      </c>
      <c r="E741" s="33">
        <v>5.0539875285984701</v>
      </c>
    </row>
    <row r="742" spans="1:5">
      <c r="A742" s="33" t="e">
        <f>COUNTIF([1]Regions!$D$3:$D$30,BillionEURNEWAGE!$B742)&gt;0</f>
        <v>#VALUE!</v>
      </c>
      <c r="B742" s="33" t="s">
        <v>2244</v>
      </c>
      <c r="C742" s="33" t="s">
        <v>432</v>
      </c>
      <c r="D742" s="33" t="s">
        <v>429</v>
      </c>
      <c r="E742" s="33">
        <v>4.8664412149896004</v>
      </c>
    </row>
    <row r="743" spans="1:5">
      <c r="A743" s="33" t="e">
        <f>COUNTIF([1]Regions!$D$3:$D$30,BillionEURNEWAGE!$B743)&gt;0</f>
        <v>#VALUE!</v>
      </c>
      <c r="B743" s="33" t="s">
        <v>2244</v>
      </c>
      <c r="C743" s="33" t="s">
        <v>432</v>
      </c>
      <c r="D743" s="33" t="s">
        <v>430</v>
      </c>
      <c r="E743" s="33">
        <v>31.765633516442598</v>
      </c>
    </row>
    <row r="744" spans="1:5">
      <c r="A744" s="33" t="e">
        <f>COUNTIF([1]Regions!$D$3:$D$30,BillionEURNEWAGE!$B744)&gt;0</f>
        <v>#VALUE!</v>
      </c>
      <c r="B744" s="33" t="s">
        <v>2245</v>
      </c>
      <c r="C744" s="33" t="s">
        <v>432</v>
      </c>
      <c r="D744" s="33" t="s">
        <v>401</v>
      </c>
      <c r="E744" s="33">
        <v>3.1821580223816999</v>
      </c>
    </row>
    <row r="745" spans="1:5">
      <c r="A745" s="33" t="e">
        <f>COUNTIF([1]Regions!$D$3:$D$30,BillionEURNEWAGE!$B745)&gt;0</f>
        <v>#VALUE!</v>
      </c>
      <c r="B745" s="33" t="s">
        <v>2245</v>
      </c>
      <c r="C745" s="33" t="s">
        <v>432</v>
      </c>
      <c r="D745" s="33" t="s">
        <v>402</v>
      </c>
      <c r="E745" s="33">
        <v>0.19389564929638001</v>
      </c>
    </row>
    <row r="746" spans="1:5">
      <c r="A746" s="33" t="e">
        <f>COUNTIF([1]Regions!$D$3:$D$30,BillionEURNEWAGE!$B746)&gt;0</f>
        <v>#VALUE!</v>
      </c>
      <c r="B746" s="33" t="s">
        <v>2245</v>
      </c>
      <c r="C746" s="33" t="s">
        <v>432</v>
      </c>
      <c r="D746" s="33" t="s">
        <v>404</v>
      </c>
      <c r="E746" s="33">
        <v>1.3160393574297899</v>
      </c>
    </row>
    <row r="747" spans="1:5">
      <c r="A747" s="33" t="e">
        <f>COUNTIF([1]Regions!$D$3:$D$30,BillionEURNEWAGE!$B747)&gt;0</f>
        <v>#VALUE!</v>
      </c>
      <c r="B747" s="33" t="s">
        <v>2245</v>
      </c>
      <c r="C747" s="33" t="s">
        <v>432</v>
      </c>
      <c r="D747" s="33" t="s">
        <v>406</v>
      </c>
      <c r="E747" s="33">
        <v>0.41901101943932101</v>
      </c>
    </row>
    <row r="748" spans="1:5">
      <c r="A748" s="33" t="e">
        <f>COUNTIF([1]Regions!$D$3:$D$30,BillionEURNEWAGE!$B748)&gt;0</f>
        <v>#VALUE!</v>
      </c>
      <c r="B748" s="33" t="s">
        <v>2245</v>
      </c>
      <c r="C748" s="33" t="s">
        <v>432</v>
      </c>
      <c r="D748" s="33" t="s">
        <v>408</v>
      </c>
      <c r="E748" s="33">
        <v>8.7635507012102307E-3</v>
      </c>
    </row>
    <row r="749" spans="1:5">
      <c r="A749" s="33" t="e">
        <f>COUNTIF([1]Regions!$D$3:$D$30,BillionEURNEWAGE!$B749)&gt;0</f>
        <v>#VALUE!</v>
      </c>
      <c r="B749" s="33" t="s">
        <v>2245</v>
      </c>
      <c r="C749" s="33" t="s">
        <v>432</v>
      </c>
      <c r="D749" s="33" t="s">
        <v>410</v>
      </c>
      <c r="E749" s="33">
        <v>13.943475666958699</v>
      </c>
    </row>
    <row r="750" spans="1:5">
      <c r="A750" s="33" t="e">
        <f>COUNTIF([1]Regions!$D$3:$D$30,BillionEURNEWAGE!$B750)&gt;0</f>
        <v>#VALUE!</v>
      </c>
      <c r="B750" s="33" t="s">
        <v>2245</v>
      </c>
      <c r="C750" s="33" t="s">
        <v>432</v>
      </c>
      <c r="D750" s="33" t="s">
        <v>411</v>
      </c>
      <c r="E750" s="33">
        <v>1.1425751169515801</v>
      </c>
    </row>
    <row r="751" spans="1:5">
      <c r="A751" s="33" t="e">
        <f>COUNTIF([1]Regions!$D$3:$D$30,BillionEURNEWAGE!$B751)&gt;0</f>
        <v>#VALUE!</v>
      </c>
      <c r="B751" s="33" t="s">
        <v>2245</v>
      </c>
      <c r="C751" s="33" t="s">
        <v>432</v>
      </c>
      <c r="D751" s="33" t="s">
        <v>413</v>
      </c>
      <c r="E751" s="33">
        <v>2.13928608219674E-2</v>
      </c>
    </row>
    <row r="752" spans="1:5">
      <c r="A752" s="33" t="e">
        <f>COUNTIF([1]Regions!$D$3:$D$30,BillionEURNEWAGE!$B752)&gt;0</f>
        <v>#VALUE!</v>
      </c>
      <c r="B752" s="33" t="s">
        <v>2245</v>
      </c>
      <c r="C752" s="33" t="s">
        <v>432</v>
      </c>
      <c r="D752" s="33" t="s">
        <v>414</v>
      </c>
      <c r="E752" s="34">
        <v>7.6380745785667001E-7</v>
      </c>
    </row>
    <row r="753" spans="1:5">
      <c r="A753" s="33" t="e">
        <f>COUNTIF([1]Regions!$D$3:$D$30,BillionEURNEWAGE!$B753)&gt;0</f>
        <v>#VALUE!</v>
      </c>
      <c r="B753" s="33" t="s">
        <v>2245</v>
      </c>
      <c r="C753" s="33" t="s">
        <v>432</v>
      </c>
      <c r="D753" s="33" t="s">
        <v>416</v>
      </c>
      <c r="E753" s="33">
        <v>7.9497729654049101</v>
      </c>
    </row>
    <row r="754" spans="1:5">
      <c r="A754" s="33" t="e">
        <f>COUNTIF([1]Regions!$D$3:$D$30,BillionEURNEWAGE!$B754)&gt;0</f>
        <v>#VALUE!</v>
      </c>
      <c r="B754" s="33" t="s">
        <v>2245</v>
      </c>
      <c r="C754" s="33" t="s">
        <v>432</v>
      </c>
      <c r="D754" s="33" t="s">
        <v>418</v>
      </c>
      <c r="E754" s="33">
        <v>1.31482419718746E-2</v>
      </c>
    </row>
    <row r="755" spans="1:5">
      <c r="A755" s="33" t="e">
        <f>COUNTIF([1]Regions!$D$3:$D$30,BillionEURNEWAGE!$B755)&gt;0</f>
        <v>#VALUE!</v>
      </c>
      <c r="B755" s="33" t="s">
        <v>2245</v>
      </c>
      <c r="C755" s="33" t="s">
        <v>432</v>
      </c>
      <c r="D755" s="33" t="s">
        <v>420</v>
      </c>
      <c r="E755" s="33">
        <v>9.2321876434983992</v>
      </c>
    </row>
    <row r="756" spans="1:5">
      <c r="A756" s="33" t="e">
        <f>COUNTIF([1]Regions!$D$3:$D$30,BillionEURNEWAGE!$B756)&gt;0</f>
        <v>#VALUE!</v>
      </c>
      <c r="B756" s="33" t="s">
        <v>2245</v>
      </c>
      <c r="C756" s="33" t="s">
        <v>432</v>
      </c>
      <c r="D756" s="33" t="s">
        <v>421</v>
      </c>
      <c r="E756" s="33">
        <v>16.067697441390401</v>
      </c>
    </row>
    <row r="757" spans="1:5">
      <c r="A757" s="33" t="e">
        <f>COUNTIF([1]Regions!$D$3:$D$30,BillionEURNEWAGE!$B757)&gt;0</f>
        <v>#VALUE!</v>
      </c>
      <c r="B757" s="33" t="s">
        <v>2245</v>
      </c>
      <c r="C757" s="33" t="s">
        <v>432</v>
      </c>
      <c r="D757" s="33" t="s">
        <v>423</v>
      </c>
      <c r="E757" s="33">
        <v>15.318071760467699</v>
      </c>
    </row>
    <row r="758" spans="1:5">
      <c r="A758" s="33" t="e">
        <f>COUNTIF([1]Regions!$D$3:$D$30,BillionEURNEWAGE!$B758)&gt;0</f>
        <v>#VALUE!</v>
      </c>
      <c r="B758" s="33" t="s">
        <v>2245</v>
      </c>
      <c r="C758" s="33" t="s">
        <v>432</v>
      </c>
      <c r="D758" s="33" t="s">
        <v>425</v>
      </c>
      <c r="E758" s="33">
        <v>1.6331226656199401E-2</v>
      </c>
    </row>
    <row r="759" spans="1:5">
      <c r="A759" s="33" t="e">
        <f>COUNTIF([1]Regions!$D$3:$D$30,BillionEURNEWAGE!$B759)&gt;0</f>
        <v>#VALUE!</v>
      </c>
      <c r="B759" s="33" t="s">
        <v>2245</v>
      </c>
      <c r="C759" s="33" t="s">
        <v>432</v>
      </c>
      <c r="D759" s="33" t="s">
        <v>427</v>
      </c>
      <c r="E759" s="33">
        <v>3.56928780217729</v>
      </c>
    </row>
    <row r="760" spans="1:5">
      <c r="A760" s="33" t="e">
        <f>COUNTIF([1]Regions!$D$3:$D$30,BillionEURNEWAGE!$B760)&gt;0</f>
        <v>#VALUE!</v>
      </c>
      <c r="B760" s="33" t="s">
        <v>2245</v>
      </c>
      <c r="C760" s="33" t="s">
        <v>432</v>
      </c>
      <c r="D760" s="33" t="s">
        <v>429</v>
      </c>
      <c r="E760" s="33">
        <v>3.4851110518011499</v>
      </c>
    </row>
    <row r="761" spans="1:5">
      <c r="A761" s="33" t="e">
        <f>COUNTIF([1]Regions!$D$3:$D$30,BillionEURNEWAGE!$B761)&gt;0</f>
        <v>#VALUE!</v>
      </c>
      <c r="B761" s="33" t="s">
        <v>2245</v>
      </c>
      <c r="C761" s="33" t="s">
        <v>432</v>
      </c>
      <c r="D761" s="33" t="s">
        <v>430</v>
      </c>
      <c r="E761" s="33">
        <v>37.999307004853897</v>
      </c>
    </row>
    <row r="762" spans="1:5">
      <c r="A762" s="33" t="e">
        <f>COUNTIF([1]Regions!$D$3:$D$30,BillionEURNEWAGE!$B762)&gt;0</f>
        <v>#VALUE!</v>
      </c>
      <c r="B762" s="33" t="s">
        <v>2246</v>
      </c>
      <c r="C762" s="33" t="s">
        <v>432</v>
      </c>
      <c r="D762" s="33" t="s">
        <v>401</v>
      </c>
      <c r="E762" s="33">
        <v>9.8755884619834102</v>
      </c>
    </row>
    <row r="763" spans="1:5">
      <c r="A763" s="33" t="e">
        <f>COUNTIF([1]Regions!$D$3:$D$30,BillionEURNEWAGE!$B763)&gt;0</f>
        <v>#VALUE!</v>
      </c>
      <c r="B763" s="33" t="s">
        <v>2246</v>
      </c>
      <c r="C763" s="33" t="s">
        <v>432</v>
      </c>
      <c r="D763" s="33" t="s">
        <v>402</v>
      </c>
      <c r="E763" s="33">
        <v>0.80686988684466998</v>
      </c>
    </row>
    <row r="764" spans="1:5">
      <c r="A764" s="33" t="e">
        <f>COUNTIF([1]Regions!$D$3:$D$30,BillionEURNEWAGE!$B764)&gt;0</f>
        <v>#VALUE!</v>
      </c>
      <c r="B764" s="33" t="s">
        <v>2246</v>
      </c>
      <c r="C764" s="33" t="s">
        <v>432</v>
      </c>
      <c r="D764" s="33" t="s">
        <v>404</v>
      </c>
      <c r="E764" s="33">
        <v>2.4445430750339701</v>
      </c>
    </row>
    <row r="765" spans="1:5">
      <c r="A765" s="33" t="e">
        <f>COUNTIF([1]Regions!$D$3:$D$30,BillionEURNEWAGE!$B765)&gt;0</f>
        <v>#VALUE!</v>
      </c>
      <c r="B765" s="33" t="s">
        <v>2246</v>
      </c>
      <c r="C765" s="33" t="s">
        <v>432</v>
      </c>
      <c r="D765" s="33" t="s">
        <v>406</v>
      </c>
      <c r="E765" s="33">
        <v>0.84119975799873603</v>
      </c>
    </row>
    <row r="766" spans="1:5">
      <c r="A766" s="33" t="e">
        <f>COUNTIF([1]Regions!$D$3:$D$30,BillionEURNEWAGE!$B766)&gt;0</f>
        <v>#VALUE!</v>
      </c>
      <c r="B766" s="33" t="s">
        <v>2246</v>
      </c>
      <c r="C766" s="33" t="s">
        <v>432</v>
      </c>
      <c r="D766" s="33" t="s">
        <v>408</v>
      </c>
      <c r="E766" s="33">
        <v>4.66386702992556E-2</v>
      </c>
    </row>
    <row r="767" spans="1:5">
      <c r="A767" s="33" t="e">
        <f>COUNTIF([1]Regions!$D$3:$D$30,BillionEURNEWAGE!$B767)&gt;0</f>
        <v>#VALUE!</v>
      </c>
      <c r="B767" s="33" t="s">
        <v>2246</v>
      </c>
      <c r="C767" s="33" t="s">
        <v>432</v>
      </c>
      <c r="D767" s="33" t="s">
        <v>410</v>
      </c>
      <c r="E767" s="33">
        <v>11.7595152335881</v>
      </c>
    </row>
    <row r="768" spans="1:5">
      <c r="A768" s="33" t="e">
        <f>COUNTIF([1]Regions!$D$3:$D$30,BillionEURNEWAGE!$B768)&gt;0</f>
        <v>#VALUE!</v>
      </c>
      <c r="B768" s="33" t="s">
        <v>2246</v>
      </c>
      <c r="C768" s="33" t="s">
        <v>432</v>
      </c>
      <c r="D768" s="33" t="s">
        <v>411</v>
      </c>
      <c r="E768" s="33">
        <v>2.36430212584902</v>
      </c>
    </row>
    <row r="769" spans="1:5">
      <c r="A769" s="33" t="e">
        <f>COUNTIF([1]Regions!$D$3:$D$30,BillionEURNEWAGE!$B769)&gt;0</f>
        <v>#VALUE!</v>
      </c>
      <c r="B769" s="33" t="s">
        <v>2246</v>
      </c>
      <c r="C769" s="33" t="s">
        <v>432</v>
      </c>
      <c r="D769" s="33" t="s">
        <v>413</v>
      </c>
      <c r="E769" s="33">
        <v>3.01757560552737E-2</v>
      </c>
    </row>
    <row r="770" spans="1:5">
      <c r="A770" s="33" t="e">
        <f>COUNTIF([1]Regions!$D$3:$D$30,BillionEURNEWAGE!$B770)&gt;0</f>
        <v>#VALUE!</v>
      </c>
      <c r="B770" s="33" t="s">
        <v>2246</v>
      </c>
      <c r="C770" s="33" t="s">
        <v>432</v>
      </c>
      <c r="D770" s="33" t="s">
        <v>414</v>
      </c>
      <c r="E770" s="34">
        <v>1.2022425800571499E-6</v>
      </c>
    </row>
    <row r="771" spans="1:5">
      <c r="A771" s="33" t="e">
        <f>COUNTIF([1]Regions!$D$3:$D$30,BillionEURNEWAGE!$B771)&gt;0</f>
        <v>#VALUE!</v>
      </c>
      <c r="B771" s="33" t="s">
        <v>2246</v>
      </c>
      <c r="C771" s="33" t="s">
        <v>432</v>
      </c>
      <c r="D771" s="33" t="s">
        <v>416</v>
      </c>
      <c r="E771" s="33">
        <v>13.5808229740421</v>
      </c>
    </row>
    <row r="772" spans="1:5">
      <c r="A772" s="33" t="e">
        <f>COUNTIF([1]Regions!$D$3:$D$30,BillionEURNEWAGE!$B772)&gt;0</f>
        <v>#VALUE!</v>
      </c>
      <c r="B772" s="33" t="s">
        <v>2246</v>
      </c>
      <c r="C772" s="33" t="s">
        <v>432</v>
      </c>
      <c r="D772" s="33" t="s">
        <v>418</v>
      </c>
      <c r="E772" s="33">
        <v>3.9596774976401197E-2</v>
      </c>
    </row>
    <row r="773" spans="1:5">
      <c r="A773" s="33" t="e">
        <f>COUNTIF([1]Regions!$D$3:$D$30,BillionEURNEWAGE!$B773)&gt;0</f>
        <v>#VALUE!</v>
      </c>
      <c r="B773" s="33" t="s">
        <v>2246</v>
      </c>
      <c r="C773" s="33" t="s">
        <v>432</v>
      </c>
      <c r="D773" s="33" t="s">
        <v>420</v>
      </c>
      <c r="E773" s="33">
        <v>14.657512957323799</v>
      </c>
    </row>
    <row r="774" spans="1:5">
      <c r="A774" s="33" t="e">
        <f>COUNTIF([1]Regions!$D$3:$D$30,BillionEURNEWAGE!$B774)&gt;0</f>
        <v>#VALUE!</v>
      </c>
      <c r="B774" s="33" t="s">
        <v>2246</v>
      </c>
      <c r="C774" s="33" t="s">
        <v>432</v>
      </c>
      <c r="D774" s="33" t="s">
        <v>421</v>
      </c>
      <c r="E774" s="33">
        <v>18.237066354929699</v>
      </c>
    </row>
    <row r="775" spans="1:5">
      <c r="A775" s="33" t="e">
        <f>COUNTIF([1]Regions!$D$3:$D$30,BillionEURNEWAGE!$B775)&gt;0</f>
        <v>#VALUE!</v>
      </c>
      <c r="B775" s="33" t="s">
        <v>2246</v>
      </c>
      <c r="C775" s="33" t="s">
        <v>432</v>
      </c>
      <c r="D775" s="33" t="s">
        <v>423</v>
      </c>
      <c r="E775" s="33">
        <v>22.089951449059701</v>
      </c>
    </row>
    <row r="776" spans="1:5">
      <c r="A776" s="33" t="e">
        <f>COUNTIF([1]Regions!$D$3:$D$30,BillionEURNEWAGE!$B776)&gt;0</f>
        <v>#VALUE!</v>
      </c>
      <c r="B776" s="33" t="s">
        <v>2246</v>
      </c>
      <c r="C776" s="33" t="s">
        <v>432</v>
      </c>
      <c r="D776" s="33" t="s">
        <v>425</v>
      </c>
      <c r="E776" s="33">
        <v>4.0062123843825799E-2</v>
      </c>
    </row>
    <row r="777" spans="1:5">
      <c r="A777" s="33" t="e">
        <f>COUNTIF([1]Regions!$D$3:$D$30,BillionEURNEWAGE!$B777)&gt;0</f>
        <v>#VALUE!</v>
      </c>
      <c r="B777" s="33" t="s">
        <v>2246</v>
      </c>
      <c r="C777" s="33" t="s">
        <v>432</v>
      </c>
      <c r="D777" s="33" t="s">
        <v>427</v>
      </c>
      <c r="E777" s="33">
        <v>11.418530602599899</v>
      </c>
    </row>
    <row r="778" spans="1:5">
      <c r="A778" s="33" t="e">
        <f>COUNTIF([1]Regions!$D$3:$D$30,BillionEURNEWAGE!$B778)&gt;0</f>
        <v>#VALUE!</v>
      </c>
      <c r="B778" s="33" t="s">
        <v>2246</v>
      </c>
      <c r="C778" s="33" t="s">
        <v>432</v>
      </c>
      <c r="D778" s="33" t="s">
        <v>429</v>
      </c>
      <c r="E778" s="33">
        <v>4.6399455481549801</v>
      </c>
    </row>
    <row r="779" spans="1:5">
      <c r="A779" s="33" t="e">
        <f>COUNTIF([1]Regions!$D$3:$D$30,BillionEURNEWAGE!$B779)&gt;0</f>
        <v>#VALUE!</v>
      </c>
      <c r="B779" s="33" t="s">
        <v>2246</v>
      </c>
      <c r="C779" s="33" t="s">
        <v>432</v>
      </c>
      <c r="D779" s="33" t="s">
        <v>430</v>
      </c>
      <c r="E779" s="33">
        <v>20.704731772901798</v>
      </c>
    </row>
    <row r="780" spans="1:5">
      <c r="A780" s="33" t="e">
        <f>COUNTIF([1]Regions!$D$3:$D$30,BillionEURNEWAGE!$B780)&gt;0</f>
        <v>#VALUE!</v>
      </c>
      <c r="B780" s="33" t="s">
        <v>2247</v>
      </c>
      <c r="C780" s="33" t="s">
        <v>432</v>
      </c>
      <c r="D780" s="33" t="s">
        <v>401</v>
      </c>
      <c r="E780" s="33">
        <v>13.5800721727847</v>
      </c>
    </row>
    <row r="781" spans="1:5">
      <c r="A781" s="33" t="e">
        <f>COUNTIF([1]Regions!$D$3:$D$30,BillionEURNEWAGE!$B781)&gt;0</f>
        <v>#VALUE!</v>
      </c>
      <c r="B781" s="33" t="s">
        <v>2247</v>
      </c>
      <c r="C781" s="33" t="s">
        <v>432</v>
      </c>
      <c r="D781" s="33" t="s">
        <v>402</v>
      </c>
      <c r="E781" s="33">
        <v>3.2578946161475399</v>
      </c>
    </row>
    <row r="782" spans="1:5">
      <c r="A782" s="33" t="e">
        <f>COUNTIF([1]Regions!$D$3:$D$30,BillionEURNEWAGE!$B782)&gt;0</f>
        <v>#VALUE!</v>
      </c>
      <c r="B782" s="33" t="s">
        <v>2247</v>
      </c>
      <c r="C782" s="33" t="s">
        <v>432</v>
      </c>
      <c r="D782" s="33" t="s">
        <v>404</v>
      </c>
      <c r="E782" s="33">
        <v>6.0500004219631203</v>
      </c>
    </row>
    <row r="783" spans="1:5">
      <c r="A783" s="33" t="e">
        <f>COUNTIF([1]Regions!$D$3:$D$30,BillionEURNEWAGE!$B783)&gt;0</f>
        <v>#VALUE!</v>
      </c>
      <c r="B783" s="33" t="s">
        <v>2247</v>
      </c>
      <c r="C783" s="33" t="s">
        <v>432</v>
      </c>
      <c r="D783" s="33" t="s">
        <v>406</v>
      </c>
      <c r="E783" s="33">
        <v>1.92560296701819</v>
      </c>
    </row>
    <row r="784" spans="1:5">
      <c r="A784" s="33" t="e">
        <f>COUNTIF([1]Regions!$D$3:$D$30,BillionEURNEWAGE!$B784)&gt;0</f>
        <v>#VALUE!</v>
      </c>
      <c r="B784" s="33" t="s">
        <v>2247</v>
      </c>
      <c r="C784" s="33" t="s">
        <v>432</v>
      </c>
      <c r="D784" s="33" t="s">
        <v>408</v>
      </c>
      <c r="E784" s="33">
        <v>1.30820734304929</v>
      </c>
    </row>
    <row r="785" spans="1:5">
      <c r="A785" s="33" t="e">
        <f>COUNTIF([1]Regions!$D$3:$D$30,BillionEURNEWAGE!$B785)&gt;0</f>
        <v>#VALUE!</v>
      </c>
      <c r="B785" s="33" t="s">
        <v>2247</v>
      </c>
      <c r="C785" s="33" t="s">
        <v>432</v>
      </c>
      <c r="D785" s="33" t="s">
        <v>410</v>
      </c>
      <c r="E785" s="33">
        <v>46.798341563479497</v>
      </c>
    </row>
    <row r="786" spans="1:5">
      <c r="A786" s="33" t="e">
        <f>COUNTIF([1]Regions!$D$3:$D$30,BillionEURNEWAGE!$B786)&gt;0</f>
        <v>#VALUE!</v>
      </c>
      <c r="B786" s="33" t="s">
        <v>2247</v>
      </c>
      <c r="C786" s="33" t="s">
        <v>432</v>
      </c>
      <c r="D786" s="33" t="s">
        <v>411</v>
      </c>
      <c r="E786" s="33">
        <v>0.48064936500039701</v>
      </c>
    </row>
    <row r="787" spans="1:5">
      <c r="A787" s="33" t="e">
        <f>COUNTIF([1]Regions!$D$3:$D$30,BillionEURNEWAGE!$B787)&gt;0</f>
        <v>#VALUE!</v>
      </c>
      <c r="B787" s="33" t="s">
        <v>2247</v>
      </c>
      <c r="C787" s="33" t="s">
        <v>432</v>
      </c>
      <c r="D787" s="33" t="s">
        <v>413</v>
      </c>
      <c r="E787" s="33">
        <v>3.9871329272188602E-2</v>
      </c>
    </row>
    <row r="788" spans="1:5">
      <c r="A788" s="33" t="e">
        <f>COUNTIF([1]Regions!$D$3:$D$30,BillionEURNEWAGE!$B788)&gt;0</f>
        <v>#VALUE!</v>
      </c>
      <c r="B788" s="33" t="s">
        <v>2247</v>
      </c>
      <c r="C788" s="33" t="s">
        <v>432</v>
      </c>
      <c r="D788" s="33" t="s">
        <v>414</v>
      </c>
      <c r="E788" s="33">
        <v>1.2124298175089001E-3</v>
      </c>
    </row>
    <row r="789" spans="1:5">
      <c r="A789" s="33" t="e">
        <f>COUNTIF([1]Regions!$D$3:$D$30,BillionEURNEWAGE!$B789)&gt;0</f>
        <v>#VALUE!</v>
      </c>
      <c r="B789" s="33" t="s">
        <v>2247</v>
      </c>
      <c r="C789" s="33" t="s">
        <v>432</v>
      </c>
      <c r="D789" s="33" t="s">
        <v>416</v>
      </c>
      <c r="E789" s="33">
        <v>34.956661577910701</v>
      </c>
    </row>
    <row r="790" spans="1:5">
      <c r="A790" s="33" t="e">
        <f>COUNTIF([1]Regions!$D$3:$D$30,BillionEURNEWAGE!$B790)&gt;0</f>
        <v>#VALUE!</v>
      </c>
      <c r="B790" s="33" t="s">
        <v>2247</v>
      </c>
      <c r="C790" s="33" t="s">
        <v>432</v>
      </c>
      <c r="D790" s="33" t="s">
        <v>418</v>
      </c>
      <c r="E790" s="33">
        <v>0.113155389673636</v>
      </c>
    </row>
    <row r="791" spans="1:5">
      <c r="A791" s="33" t="e">
        <f>COUNTIF([1]Regions!$D$3:$D$30,BillionEURNEWAGE!$B791)&gt;0</f>
        <v>#VALUE!</v>
      </c>
      <c r="B791" s="33" t="s">
        <v>2247</v>
      </c>
      <c r="C791" s="33" t="s">
        <v>432</v>
      </c>
      <c r="D791" s="33" t="s">
        <v>420</v>
      </c>
      <c r="E791" s="33">
        <v>49.170626193897498</v>
      </c>
    </row>
    <row r="792" spans="1:5">
      <c r="A792" s="33" t="e">
        <f>COUNTIF([1]Regions!$D$3:$D$30,BillionEURNEWAGE!$B792)&gt;0</f>
        <v>#VALUE!</v>
      </c>
      <c r="B792" s="33" t="s">
        <v>2247</v>
      </c>
      <c r="C792" s="33" t="s">
        <v>432</v>
      </c>
      <c r="D792" s="33" t="s">
        <v>421</v>
      </c>
      <c r="E792" s="33">
        <v>61.056497730790703</v>
      </c>
    </row>
    <row r="793" spans="1:5">
      <c r="A793" s="33" t="e">
        <f>COUNTIF([1]Regions!$D$3:$D$30,BillionEURNEWAGE!$B793)&gt;0</f>
        <v>#VALUE!</v>
      </c>
      <c r="B793" s="33" t="s">
        <v>2247</v>
      </c>
      <c r="C793" s="33" t="s">
        <v>432</v>
      </c>
      <c r="D793" s="33" t="s">
        <v>423</v>
      </c>
      <c r="E793" s="33">
        <v>75.763370959336797</v>
      </c>
    </row>
    <row r="794" spans="1:5">
      <c r="A794" s="33" t="e">
        <f>COUNTIF([1]Regions!$D$3:$D$30,BillionEURNEWAGE!$B794)&gt;0</f>
        <v>#VALUE!</v>
      </c>
      <c r="B794" s="33" t="s">
        <v>2247</v>
      </c>
      <c r="C794" s="33" t="s">
        <v>432</v>
      </c>
      <c r="D794" s="33" t="s">
        <v>425</v>
      </c>
      <c r="E794" s="33">
        <v>6.3675229018206894E-2</v>
      </c>
    </row>
    <row r="795" spans="1:5">
      <c r="A795" s="33" t="e">
        <f>COUNTIF([1]Regions!$D$3:$D$30,BillionEURNEWAGE!$B795)&gt;0</f>
        <v>#VALUE!</v>
      </c>
      <c r="B795" s="33" t="s">
        <v>2247</v>
      </c>
      <c r="C795" s="33" t="s">
        <v>432</v>
      </c>
      <c r="D795" s="33" t="s">
        <v>427</v>
      </c>
      <c r="E795" s="33">
        <v>36.7984279171285</v>
      </c>
    </row>
    <row r="796" spans="1:5">
      <c r="A796" s="33" t="e">
        <f>COUNTIF([1]Regions!$D$3:$D$30,BillionEURNEWAGE!$B796)&gt;0</f>
        <v>#VALUE!</v>
      </c>
      <c r="B796" s="33" t="s">
        <v>2247</v>
      </c>
      <c r="C796" s="33" t="s">
        <v>432</v>
      </c>
      <c r="D796" s="33" t="s">
        <v>429</v>
      </c>
      <c r="E796" s="33">
        <v>14.126891859680301</v>
      </c>
    </row>
    <row r="797" spans="1:5">
      <c r="A797" s="33" t="e">
        <f>COUNTIF([1]Regions!$D$3:$D$30,BillionEURNEWAGE!$B797)&gt;0</f>
        <v>#VALUE!</v>
      </c>
      <c r="B797" s="33" t="s">
        <v>2247</v>
      </c>
      <c r="C797" s="33" t="s">
        <v>432</v>
      </c>
      <c r="D797" s="33" t="s">
        <v>430</v>
      </c>
      <c r="E797" s="33">
        <v>58.505869278655297</v>
      </c>
    </row>
    <row r="798" spans="1:5">
      <c r="A798" s="33" t="e">
        <f>COUNTIF([1]Regions!$D$3:$D$30,BillionEURNEWAGE!$B798)&gt;0</f>
        <v>#VALUE!</v>
      </c>
      <c r="B798" s="33" t="s">
        <v>2248</v>
      </c>
      <c r="C798" s="33" t="s">
        <v>432</v>
      </c>
      <c r="D798" s="33" t="s">
        <v>401</v>
      </c>
      <c r="E798" s="33">
        <v>0.71440583803002999</v>
      </c>
    </row>
    <row r="799" spans="1:5">
      <c r="A799" s="33" t="e">
        <f>COUNTIF([1]Regions!$D$3:$D$30,BillionEURNEWAGE!$B799)&gt;0</f>
        <v>#VALUE!</v>
      </c>
      <c r="B799" s="33" t="s">
        <v>2248</v>
      </c>
      <c r="C799" s="33" t="s">
        <v>432</v>
      </c>
      <c r="D799" s="33" t="s">
        <v>402</v>
      </c>
      <c r="E799" s="34">
        <v>1.28857403115073E-5</v>
      </c>
    </row>
    <row r="800" spans="1:5">
      <c r="A800" s="33" t="e">
        <f>COUNTIF([1]Regions!$D$3:$D$30,BillionEURNEWAGE!$B800)&gt;0</f>
        <v>#VALUE!</v>
      </c>
      <c r="B800" s="33" t="s">
        <v>2248</v>
      </c>
      <c r="C800" s="33" t="s">
        <v>432</v>
      </c>
      <c r="D800" s="33" t="s">
        <v>404</v>
      </c>
      <c r="E800" s="33">
        <v>0.34065112654280999</v>
      </c>
    </row>
    <row r="801" spans="1:5">
      <c r="A801" s="33" t="e">
        <f>COUNTIF([1]Regions!$D$3:$D$30,BillionEURNEWAGE!$B801)&gt;0</f>
        <v>#VALUE!</v>
      </c>
      <c r="B801" s="33" t="s">
        <v>2248</v>
      </c>
      <c r="C801" s="33" t="s">
        <v>432</v>
      </c>
      <c r="D801" s="33" t="s">
        <v>406</v>
      </c>
      <c r="E801" s="33">
        <v>0.12982979193858599</v>
      </c>
    </row>
    <row r="802" spans="1:5">
      <c r="A802" s="33" t="e">
        <f>COUNTIF([1]Regions!$D$3:$D$30,BillionEURNEWAGE!$B802)&gt;0</f>
        <v>#VALUE!</v>
      </c>
      <c r="B802" s="33" t="s">
        <v>2248</v>
      </c>
      <c r="C802" s="33" t="s">
        <v>432</v>
      </c>
      <c r="D802" s="33" t="s">
        <v>408</v>
      </c>
      <c r="E802" s="33">
        <v>1.04065717026833E-2</v>
      </c>
    </row>
    <row r="803" spans="1:5">
      <c r="A803" s="33" t="e">
        <f>COUNTIF([1]Regions!$D$3:$D$30,BillionEURNEWAGE!$B803)&gt;0</f>
        <v>#VALUE!</v>
      </c>
      <c r="B803" s="33" t="s">
        <v>2248</v>
      </c>
      <c r="C803" s="33" t="s">
        <v>432</v>
      </c>
      <c r="D803" s="33" t="s">
        <v>410</v>
      </c>
      <c r="E803" s="33">
        <v>4.2717504916622699</v>
      </c>
    </row>
    <row r="804" spans="1:5">
      <c r="A804" s="33" t="e">
        <f>COUNTIF([1]Regions!$D$3:$D$30,BillionEURNEWAGE!$B804)&gt;0</f>
        <v>#VALUE!</v>
      </c>
      <c r="B804" s="33" t="s">
        <v>2248</v>
      </c>
      <c r="C804" s="33" t="s">
        <v>432</v>
      </c>
      <c r="D804" s="33" t="s">
        <v>411</v>
      </c>
      <c r="E804" s="33">
        <v>6.4871647083686895E-2</v>
      </c>
    </row>
    <row r="805" spans="1:5">
      <c r="A805" s="33" t="e">
        <f>COUNTIF([1]Regions!$D$3:$D$30,BillionEURNEWAGE!$B805)&gt;0</f>
        <v>#VALUE!</v>
      </c>
      <c r="B805" s="33" t="s">
        <v>2248</v>
      </c>
      <c r="C805" s="33" t="s">
        <v>432</v>
      </c>
      <c r="D805" s="33" t="s">
        <v>413</v>
      </c>
      <c r="E805" s="33">
        <v>3.4325318838253902E-4</v>
      </c>
    </row>
    <row r="806" spans="1:5">
      <c r="A806" s="33" t="e">
        <f>COUNTIF([1]Regions!$D$3:$D$30,BillionEURNEWAGE!$B806)&gt;0</f>
        <v>#VALUE!</v>
      </c>
      <c r="B806" s="33" t="s">
        <v>2248</v>
      </c>
      <c r="C806" s="33" t="s">
        <v>432</v>
      </c>
      <c r="D806" s="33" t="s">
        <v>414</v>
      </c>
      <c r="E806" s="34">
        <v>2.1791478109625598E-6</v>
      </c>
    </row>
    <row r="807" spans="1:5">
      <c r="A807" s="33" t="e">
        <f>COUNTIF([1]Regions!$D$3:$D$30,BillionEURNEWAGE!$B807)&gt;0</f>
        <v>#VALUE!</v>
      </c>
      <c r="B807" s="33" t="s">
        <v>2248</v>
      </c>
      <c r="C807" s="33" t="s">
        <v>432</v>
      </c>
      <c r="D807" s="33" t="s">
        <v>416</v>
      </c>
      <c r="E807" s="33">
        <v>7.6937912027438502</v>
      </c>
    </row>
    <row r="808" spans="1:5">
      <c r="A808" s="33" t="e">
        <f>COUNTIF([1]Regions!$D$3:$D$30,BillionEURNEWAGE!$B808)&gt;0</f>
        <v>#VALUE!</v>
      </c>
      <c r="B808" s="33" t="s">
        <v>2248</v>
      </c>
      <c r="C808" s="33" t="s">
        <v>432</v>
      </c>
      <c r="D808" s="33" t="s">
        <v>418</v>
      </c>
      <c r="E808" s="33">
        <v>5.1950995072492904E-4</v>
      </c>
    </row>
    <row r="809" spans="1:5">
      <c r="A809" s="33" t="e">
        <f>COUNTIF([1]Regions!$D$3:$D$30,BillionEURNEWAGE!$B809)&gt;0</f>
        <v>#VALUE!</v>
      </c>
      <c r="B809" s="33" t="s">
        <v>2248</v>
      </c>
      <c r="C809" s="33" t="s">
        <v>432</v>
      </c>
      <c r="D809" s="33" t="s">
        <v>420</v>
      </c>
      <c r="E809" s="33">
        <v>2.3393694725843801</v>
      </c>
    </row>
    <row r="810" spans="1:5">
      <c r="A810" s="33" t="e">
        <f>COUNTIF([1]Regions!$D$3:$D$30,BillionEURNEWAGE!$B810)&gt;0</f>
        <v>#VALUE!</v>
      </c>
      <c r="B810" s="33" t="s">
        <v>2248</v>
      </c>
      <c r="C810" s="33" t="s">
        <v>432</v>
      </c>
      <c r="D810" s="33" t="s">
        <v>421</v>
      </c>
      <c r="E810" s="33">
        <v>4.27424996093752</v>
      </c>
    </row>
    <row r="811" spans="1:5">
      <c r="A811" s="33" t="e">
        <f>COUNTIF([1]Regions!$D$3:$D$30,BillionEURNEWAGE!$B811)&gt;0</f>
        <v>#VALUE!</v>
      </c>
      <c r="B811" s="33" t="s">
        <v>2248</v>
      </c>
      <c r="C811" s="33" t="s">
        <v>432</v>
      </c>
      <c r="D811" s="33" t="s">
        <v>423</v>
      </c>
      <c r="E811" s="33">
        <v>4.3967161703869699</v>
      </c>
    </row>
    <row r="812" spans="1:5">
      <c r="A812" s="33" t="e">
        <f>COUNTIF([1]Regions!$D$3:$D$30,BillionEURNEWAGE!$B812)&gt;0</f>
        <v>#VALUE!</v>
      </c>
      <c r="B812" s="33" t="s">
        <v>2248</v>
      </c>
      <c r="C812" s="33" t="s">
        <v>432</v>
      </c>
      <c r="D812" s="33" t="s">
        <v>425</v>
      </c>
      <c r="E812" s="34">
        <v>6.5297013233802002E-5</v>
      </c>
    </row>
    <row r="813" spans="1:5">
      <c r="A813" s="33" t="e">
        <f>COUNTIF([1]Regions!$D$3:$D$30,BillionEURNEWAGE!$B813)&gt;0</f>
        <v>#VALUE!</v>
      </c>
      <c r="B813" s="33" t="s">
        <v>2248</v>
      </c>
      <c r="C813" s="33" t="s">
        <v>432</v>
      </c>
      <c r="D813" s="33" t="s">
        <v>427</v>
      </c>
      <c r="E813" s="33">
        <v>5.3196509330229196</v>
      </c>
    </row>
    <row r="814" spans="1:5">
      <c r="A814" s="33" t="e">
        <f>COUNTIF([1]Regions!$D$3:$D$30,BillionEURNEWAGE!$B814)&gt;0</f>
        <v>#VALUE!</v>
      </c>
      <c r="B814" s="33" t="s">
        <v>2248</v>
      </c>
      <c r="C814" s="33" t="s">
        <v>432</v>
      </c>
      <c r="D814" s="33" t="s">
        <v>429</v>
      </c>
      <c r="E814" s="33">
        <v>0.93755410257534899</v>
      </c>
    </row>
    <row r="815" spans="1:5">
      <c r="A815" s="33" t="e">
        <f>COUNTIF([1]Regions!$D$3:$D$30,BillionEURNEWAGE!$B815)&gt;0</f>
        <v>#VALUE!</v>
      </c>
      <c r="B815" s="33" t="s">
        <v>2248</v>
      </c>
      <c r="C815" s="33" t="s">
        <v>432</v>
      </c>
      <c r="D815" s="33" t="s">
        <v>430</v>
      </c>
      <c r="E815" s="33">
        <v>6.0184791584864303</v>
      </c>
    </row>
    <row r="816" spans="1:5">
      <c r="A816" s="33" t="e">
        <f>COUNTIF([1]Regions!$D$3:$D$30,BillionEURNEWAGE!$B816)&gt;0</f>
        <v>#VALUE!</v>
      </c>
      <c r="B816" s="33" t="s">
        <v>2249</v>
      </c>
      <c r="C816" s="33" t="s">
        <v>432</v>
      </c>
      <c r="D816" s="33" t="s">
        <v>401</v>
      </c>
      <c r="E816" s="33">
        <v>5.0677471898693804</v>
      </c>
    </row>
    <row r="817" spans="1:5">
      <c r="A817" s="33" t="e">
        <f>COUNTIF([1]Regions!$D$3:$D$30,BillionEURNEWAGE!$B817)&gt;0</f>
        <v>#VALUE!</v>
      </c>
      <c r="B817" s="33" t="s">
        <v>2249</v>
      </c>
      <c r="C817" s="33" t="s">
        <v>432</v>
      </c>
      <c r="D817" s="33" t="s">
        <v>402</v>
      </c>
      <c r="E817" s="33">
        <v>6.0406441262748897E-2</v>
      </c>
    </row>
    <row r="818" spans="1:5">
      <c r="A818" s="33" t="e">
        <f>COUNTIF([1]Regions!$D$3:$D$30,BillionEURNEWAGE!$B818)&gt;0</f>
        <v>#VALUE!</v>
      </c>
      <c r="B818" s="33" t="s">
        <v>2249</v>
      </c>
      <c r="C818" s="33" t="s">
        <v>432</v>
      </c>
      <c r="D818" s="33" t="s">
        <v>404</v>
      </c>
      <c r="E818" s="33">
        <v>1.0952595678130901</v>
      </c>
    </row>
    <row r="819" spans="1:5">
      <c r="A819" s="33" t="e">
        <f>COUNTIF([1]Regions!$D$3:$D$30,BillionEURNEWAGE!$B819)&gt;0</f>
        <v>#VALUE!</v>
      </c>
      <c r="B819" s="33" t="s">
        <v>2249</v>
      </c>
      <c r="C819" s="33" t="s">
        <v>432</v>
      </c>
      <c r="D819" s="33" t="s">
        <v>406</v>
      </c>
      <c r="E819" s="33">
        <v>9.52466530097201E-2</v>
      </c>
    </row>
    <row r="820" spans="1:5">
      <c r="A820" s="33" t="e">
        <f>COUNTIF([1]Regions!$D$3:$D$30,BillionEURNEWAGE!$B820)&gt;0</f>
        <v>#VALUE!</v>
      </c>
      <c r="B820" s="33" t="s">
        <v>2249</v>
      </c>
      <c r="C820" s="33" t="s">
        <v>432</v>
      </c>
      <c r="D820" s="33" t="s">
        <v>408</v>
      </c>
      <c r="E820" s="33">
        <v>0.55067501411270003</v>
      </c>
    </row>
    <row r="821" spans="1:5">
      <c r="A821" s="33" t="e">
        <f>COUNTIF([1]Regions!$D$3:$D$30,BillionEURNEWAGE!$B821)&gt;0</f>
        <v>#VALUE!</v>
      </c>
      <c r="B821" s="33" t="s">
        <v>2249</v>
      </c>
      <c r="C821" s="33" t="s">
        <v>432</v>
      </c>
      <c r="D821" s="33" t="s">
        <v>410</v>
      </c>
      <c r="E821" s="33">
        <v>4.9506149341717203</v>
      </c>
    </row>
    <row r="822" spans="1:5">
      <c r="A822" s="33" t="e">
        <f>COUNTIF([1]Regions!$D$3:$D$30,BillionEURNEWAGE!$B822)&gt;0</f>
        <v>#VALUE!</v>
      </c>
      <c r="B822" s="33" t="s">
        <v>2249</v>
      </c>
      <c r="C822" s="33" t="s">
        <v>432</v>
      </c>
      <c r="D822" s="33" t="s">
        <v>411</v>
      </c>
      <c r="E822" s="33">
        <v>0.13046889844691301</v>
      </c>
    </row>
    <row r="823" spans="1:5">
      <c r="A823" s="33" t="e">
        <f>COUNTIF([1]Regions!$D$3:$D$30,BillionEURNEWAGE!$B823)&gt;0</f>
        <v>#VALUE!</v>
      </c>
      <c r="B823" s="33" t="s">
        <v>2249</v>
      </c>
      <c r="C823" s="33" t="s">
        <v>432</v>
      </c>
      <c r="D823" s="33" t="s">
        <v>413</v>
      </c>
      <c r="E823" s="33">
        <v>0.38858443588278102</v>
      </c>
    </row>
    <row r="824" spans="1:5">
      <c r="A824" s="33" t="e">
        <f>COUNTIF([1]Regions!$D$3:$D$30,BillionEURNEWAGE!$B824)&gt;0</f>
        <v>#VALUE!</v>
      </c>
      <c r="B824" s="33" t="s">
        <v>2249</v>
      </c>
      <c r="C824" s="33" t="s">
        <v>432</v>
      </c>
      <c r="D824" s="33" t="s">
        <v>414</v>
      </c>
      <c r="E824" s="34">
        <v>7.9155510075492593E-6</v>
      </c>
    </row>
    <row r="825" spans="1:5">
      <c r="A825" s="33" t="e">
        <f>COUNTIF([1]Regions!$D$3:$D$30,BillionEURNEWAGE!$B825)&gt;0</f>
        <v>#VALUE!</v>
      </c>
      <c r="B825" s="33" t="s">
        <v>2249</v>
      </c>
      <c r="C825" s="33" t="s">
        <v>432</v>
      </c>
      <c r="D825" s="33" t="s">
        <v>416</v>
      </c>
      <c r="E825" s="33">
        <v>7.63842895315927</v>
      </c>
    </row>
    <row r="826" spans="1:5">
      <c r="A826" s="33" t="e">
        <f>COUNTIF([1]Regions!$D$3:$D$30,BillionEURNEWAGE!$B826)&gt;0</f>
        <v>#VALUE!</v>
      </c>
      <c r="B826" s="33" t="s">
        <v>2249</v>
      </c>
      <c r="C826" s="33" t="s">
        <v>432</v>
      </c>
      <c r="D826" s="33" t="s">
        <v>418</v>
      </c>
      <c r="E826" s="33">
        <v>1.3345821628936499E-2</v>
      </c>
    </row>
    <row r="827" spans="1:5">
      <c r="A827" s="33" t="e">
        <f>COUNTIF([1]Regions!$D$3:$D$30,BillionEURNEWAGE!$B827)&gt;0</f>
        <v>#VALUE!</v>
      </c>
      <c r="B827" s="33" t="s">
        <v>2249</v>
      </c>
      <c r="C827" s="33" t="s">
        <v>432</v>
      </c>
      <c r="D827" s="33" t="s">
        <v>420</v>
      </c>
      <c r="E827" s="33">
        <v>23.547558443064801</v>
      </c>
    </row>
    <row r="828" spans="1:5">
      <c r="A828" s="33" t="e">
        <f>COUNTIF([1]Regions!$D$3:$D$30,BillionEURNEWAGE!$B828)&gt;0</f>
        <v>#VALUE!</v>
      </c>
      <c r="B828" s="33" t="s">
        <v>2249</v>
      </c>
      <c r="C828" s="33" t="s">
        <v>432</v>
      </c>
      <c r="D828" s="33" t="s">
        <v>421</v>
      </c>
      <c r="E828" s="33">
        <v>14.446240543216099</v>
      </c>
    </row>
    <row r="829" spans="1:5">
      <c r="A829" s="33" t="e">
        <f>COUNTIF([1]Regions!$D$3:$D$30,BillionEURNEWAGE!$B829)&gt;0</f>
        <v>#VALUE!</v>
      </c>
      <c r="B829" s="33" t="s">
        <v>2249</v>
      </c>
      <c r="C829" s="33" t="s">
        <v>432</v>
      </c>
      <c r="D829" s="33" t="s">
        <v>423</v>
      </c>
      <c r="E829" s="33">
        <v>17.547621893384999</v>
      </c>
    </row>
    <row r="830" spans="1:5">
      <c r="A830" s="33" t="e">
        <f>COUNTIF([1]Regions!$D$3:$D$30,BillionEURNEWAGE!$B830)&gt;0</f>
        <v>#VALUE!</v>
      </c>
      <c r="B830" s="33" t="s">
        <v>2249</v>
      </c>
      <c r="C830" s="33" t="s">
        <v>432</v>
      </c>
      <c r="D830" s="33" t="s">
        <v>425</v>
      </c>
      <c r="E830" s="33">
        <v>3.5742577879938203E-2</v>
      </c>
    </row>
    <row r="831" spans="1:5">
      <c r="A831" s="33" t="e">
        <f>COUNTIF([1]Regions!$D$3:$D$30,BillionEURNEWAGE!$B831)&gt;0</f>
        <v>#VALUE!</v>
      </c>
      <c r="B831" s="33" t="s">
        <v>2249</v>
      </c>
      <c r="C831" s="33" t="s">
        <v>432</v>
      </c>
      <c r="D831" s="33" t="s">
        <v>427</v>
      </c>
      <c r="E831" s="33">
        <v>2.9705136838539499</v>
      </c>
    </row>
    <row r="832" spans="1:5">
      <c r="A832" s="33" t="e">
        <f>COUNTIF([1]Regions!$D$3:$D$30,BillionEURNEWAGE!$B832)&gt;0</f>
        <v>#VALUE!</v>
      </c>
      <c r="B832" s="33" t="s">
        <v>2249</v>
      </c>
      <c r="C832" s="33" t="s">
        <v>432</v>
      </c>
      <c r="D832" s="33" t="s">
        <v>429</v>
      </c>
      <c r="E832" s="33">
        <v>4.8595692487033197</v>
      </c>
    </row>
    <row r="833" spans="1:5">
      <c r="A833" s="33" t="e">
        <f>COUNTIF([1]Regions!$D$3:$D$30,BillionEURNEWAGE!$B833)&gt;0</f>
        <v>#VALUE!</v>
      </c>
      <c r="B833" s="33" t="s">
        <v>2249</v>
      </c>
      <c r="C833" s="33" t="s">
        <v>432</v>
      </c>
      <c r="D833" s="33" t="s">
        <v>430</v>
      </c>
      <c r="E833" s="33">
        <v>18.398427019274202</v>
      </c>
    </row>
    <row r="834" spans="1:5">
      <c r="A834" s="33" t="e">
        <f>COUNTIF([1]Regions!$D$3:$D$30,BillionEURNEWAGE!$B834)&gt;0</f>
        <v>#VALUE!</v>
      </c>
      <c r="B834" s="33" t="s">
        <v>2250</v>
      </c>
      <c r="C834" s="33" t="s">
        <v>432</v>
      </c>
      <c r="D834" s="33" t="s">
        <v>401</v>
      </c>
      <c r="E834" s="33">
        <v>1.2045642526243101</v>
      </c>
    </row>
    <row r="835" spans="1:5">
      <c r="A835" s="33" t="e">
        <f>COUNTIF([1]Regions!$D$3:$D$30,BillionEURNEWAGE!$B835)&gt;0</f>
        <v>#VALUE!</v>
      </c>
      <c r="B835" s="33" t="s">
        <v>2250</v>
      </c>
      <c r="C835" s="33" t="s">
        <v>432</v>
      </c>
      <c r="D835" s="33" t="s">
        <v>402</v>
      </c>
      <c r="E835" s="33">
        <v>2.6782739578270001E-3</v>
      </c>
    </row>
    <row r="836" spans="1:5">
      <c r="A836" s="33" t="e">
        <f>COUNTIF([1]Regions!$D$3:$D$30,BillionEURNEWAGE!$B836)&gt;0</f>
        <v>#VALUE!</v>
      </c>
      <c r="B836" s="33" t="s">
        <v>2250</v>
      </c>
      <c r="C836" s="33" t="s">
        <v>432</v>
      </c>
      <c r="D836" s="33" t="s">
        <v>404</v>
      </c>
      <c r="E836" s="33">
        <v>0.19549691200297301</v>
      </c>
    </row>
    <row r="837" spans="1:5">
      <c r="A837" s="33" t="e">
        <f>COUNTIF([1]Regions!$D$3:$D$30,BillionEURNEWAGE!$B837)&gt;0</f>
        <v>#VALUE!</v>
      </c>
      <c r="B837" s="33" t="s">
        <v>2250</v>
      </c>
      <c r="C837" s="33" t="s">
        <v>432</v>
      </c>
      <c r="D837" s="33" t="s">
        <v>406</v>
      </c>
      <c r="E837" s="33">
        <v>8.3526011819805998E-2</v>
      </c>
    </row>
    <row r="838" spans="1:5">
      <c r="A838" s="33" t="e">
        <f>COUNTIF([1]Regions!$D$3:$D$30,BillionEURNEWAGE!$B838)&gt;0</f>
        <v>#VALUE!</v>
      </c>
      <c r="B838" s="33" t="s">
        <v>2250</v>
      </c>
      <c r="C838" s="33" t="s">
        <v>432</v>
      </c>
      <c r="D838" s="33" t="s">
        <v>408</v>
      </c>
      <c r="E838" s="33">
        <v>4.3220164407061602E-4</v>
      </c>
    </row>
    <row r="839" spans="1:5">
      <c r="A839" s="33" t="e">
        <f>COUNTIF([1]Regions!$D$3:$D$30,BillionEURNEWAGE!$B839)&gt;0</f>
        <v>#VALUE!</v>
      </c>
      <c r="B839" s="33" t="s">
        <v>2250</v>
      </c>
      <c r="C839" s="33" t="s">
        <v>432</v>
      </c>
      <c r="D839" s="33" t="s">
        <v>410</v>
      </c>
      <c r="E839" s="33">
        <v>1.79964609111337</v>
      </c>
    </row>
    <row r="840" spans="1:5">
      <c r="A840" s="33" t="e">
        <f>COUNTIF([1]Regions!$D$3:$D$30,BillionEURNEWAGE!$B840)&gt;0</f>
        <v>#VALUE!</v>
      </c>
      <c r="B840" s="33" t="s">
        <v>2250</v>
      </c>
      <c r="C840" s="33" t="s">
        <v>432</v>
      </c>
      <c r="D840" s="33" t="s">
        <v>411</v>
      </c>
      <c r="E840" s="33">
        <v>0.13887837826753899</v>
      </c>
    </row>
    <row r="841" spans="1:5">
      <c r="A841" s="33" t="e">
        <f>COUNTIF([1]Regions!$D$3:$D$30,BillionEURNEWAGE!$B841)&gt;0</f>
        <v>#VALUE!</v>
      </c>
      <c r="B841" s="33" t="s">
        <v>2250</v>
      </c>
      <c r="C841" s="33" t="s">
        <v>432</v>
      </c>
      <c r="D841" s="33" t="s">
        <v>413</v>
      </c>
      <c r="E841" s="33">
        <v>1.7232183608319199E-2</v>
      </c>
    </row>
    <row r="842" spans="1:5">
      <c r="A842" s="33" t="e">
        <f>COUNTIF([1]Regions!$D$3:$D$30,BillionEURNEWAGE!$B842)&gt;0</f>
        <v>#VALUE!</v>
      </c>
      <c r="B842" s="33" t="s">
        <v>2250</v>
      </c>
      <c r="C842" s="33" t="s">
        <v>432</v>
      </c>
      <c r="D842" s="33" t="s">
        <v>414</v>
      </c>
      <c r="E842" s="34">
        <v>8.1954210810583901E-7</v>
      </c>
    </row>
    <row r="843" spans="1:5">
      <c r="A843" s="33" t="e">
        <f>COUNTIF([1]Regions!$D$3:$D$30,BillionEURNEWAGE!$B843)&gt;0</f>
        <v>#VALUE!</v>
      </c>
      <c r="B843" s="33" t="s">
        <v>2250</v>
      </c>
      <c r="C843" s="33" t="s">
        <v>432</v>
      </c>
      <c r="D843" s="33" t="s">
        <v>416</v>
      </c>
      <c r="E843" s="33">
        <v>1.37920757720931</v>
      </c>
    </row>
    <row r="844" spans="1:5">
      <c r="A844" s="33" t="e">
        <f>COUNTIF([1]Regions!$D$3:$D$30,BillionEURNEWAGE!$B844)&gt;0</f>
        <v>#VALUE!</v>
      </c>
      <c r="B844" s="33" t="s">
        <v>2250</v>
      </c>
      <c r="C844" s="33" t="s">
        <v>432</v>
      </c>
      <c r="D844" s="33" t="s">
        <v>418</v>
      </c>
      <c r="E844" s="34">
        <v>7.2894484162097306E-5</v>
      </c>
    </row>
    <row r="845" spans="1:5">
      <c r="A845" s="33" t="e">
        <f>COUNTIF([1]Regions!$D$3:$D$30,BillionEURNEWAGE!$B845)&gt;0</f>
        <v>#VALUE!</v>
      </c>
      <c r="B845" s="33" t="s">
        <v>2250</v>
      </c>
      <c r="C845" s="33" t="s">
        <v>432</v>
      </c>
      <c r="D845" s="33" t="s">
        <v>420</v>
      </c>
      <c r="E845" s="33">
        <v>1.4630119665650201</v>
      </c>
    </row>
    <row r="846" spans="1:5">
      <c r="A846" s="33" t="e">
        <f>COUNTIF([1]Regions!$D$3:$D$30,BillionEURNEWAGE!$B846)&gt;0</f>
        <v>#VALUE!</v>
      </c>
      <c r="B846" s="33" t="s">
        <v>2250</v>
      </c>
      <c r="C846" s="33" t="s">
        <v>432</v>
      </c>
      <c r="D846" s="33" t="s">
        <v>421</v>
      </c>
      <c r="E846" s="33">
        <v>2.7307412160782398</v>
      </c>
    </row>
    <row r="847" spans="1:5">
      <c r="A847" s="33" t="e">
        <f>COUNTIF([1]Regions!$D$3:$D$30,BillionEURNEWAGE!$B847)&gt;0</f>
        <v>#VALUE!</v>
      </c>
      <c r="B847" s="33" t="s">
        <v>2250</v>
      </c>
      <c r="C847" s="33" t="s">
        <v>432</v>
      </c>
      <c r="D847" s="33" t="s">
        <v>423</v>
      </c>
      <c r="E847" s="33">
        <v>3.7486399958945</v>
      </c>
    </row>
    <row r="848" spans="1:5">
      <c r="A848" s="33" t="e">
        <f>COUNTIF([1]Regions!$D$3:$D$30,BillionEURNEWAGE!$B848)&gt;0</f>
        <v>#VALUE!</v>
      </c>
      <c r="B848" s="33" t="s">
        <v>2250</v>
      </c>
      <c r="C848" s="33" t="s">
        <v>432</v>
      </c>
      <c r="D848" s="33" t="s">
        <v>427</v>
      </c>
      <c r="E848" s="33">
        <v>0.85339216298268905</v>
      </c>
    </row>
    <row r="849" spans="1:5">
      <c r="A849" s="33" t="e">
        <f>COUNTIF([1]Regions!$D$3:$D$30,BillionEURNEWAGE!$B849)&gt;0</f>
        <v>#VALUE!</v>
      </c>
      <c r="B849" s="33" t="s">
        <v>2250</v>
      </c>
      <c r="C849" s="33" t="s">
        <v>432</v>
      </c>
      <c r="D849" s="33" t="s">
        <v>429</v>
      </c>
      <c r="E849" s="33">
        <v>0.44545571768122499</v>
      </c>
    </row>
    <row r="850" spans="1:5">
      <c r="A850" s="33" t="e">
        <f>COUNTIF([1]Regions!$D$3:$D$30,BillionEURNEWAGE!$B850)&gt;0</f>
        <v>#VALUE!</v>
      </c>
      <c r="B850" s="33" t="s">
        <v>2250</v>
      </c>
      <c r="C850" s="33" t="s">
        <v>432</v>
      </c>
      <c r="D850" s="33" t="s">
        <v>430</v>
      </c>
      <c r="E850" s="33">
        <v>3.23840444564873</v>
      </c>
    </row>
    <row r="851" spans="1:5">
      <c r="A851" s="33" t="e">
        <f>COUNTIF([1]Regions!$D$3:$D$30,BillionEURNEWAGE!$B851)&gt;0</f>
        <v>#VALUE!</v>
      </c>
      <c r="B851" s="33" t="s">
        <v>2251</v>
      </c>
      <c r="C851" s="33" t="s">
        <v>432</v>
      </c>
      <c r="D851" s="33" t="s">
        <v>401</v>
      </c>
      <c r="E851" s="33">
        <v>12.180195762448299</v>
      </c>
    </row>
    <row r="852" spans="1:5">
      <c r="A852" s="33" t="e">
        <f>COUNTIF([1]Regions!$D$3:$D$30,BillionEURNEWAGE!$B852)&gt;0</f>
        <v>#VALUE!</v>
      </c>
      <c r="B852" s="33" t="s">
        <v>2251</v>
      </c>
      <c r="C852" s="33" t="s">
        <v>432</v>
      </c>
      <c r="D852" s="33" t="s">
        <v>402</v>
      </c>
      <c r="E852" s="33">
        <v>0.662994311226769</v>
      </c>
    </row>
    <row r="853" spans="1:5">
      <c r="A853" s="33" t="e">
        <f>COUNTIF([1]Regions!$D$3:$D$30,BillionEURNEWAGE!$B853)&gt;0</f>
        <v>#VALUE!</v>
      </c>
      <c r="B853" s="33" t="s">
        <v>2251</v>
      </c>
      <c r="C853" s="33" t="s">
        <v>432</v>
      </c>
      <c r="D853" s="33" t="s">
        <v>404</v>
      </c>
      <c r="E853" s="33">
        <v>1.70992956513855</v>
      </c>
    </row>
    <row r="854" spans="1:5">
      <c r="A854" s="33" t="e">
        <f>COUNTIF([1]Regions!$D$3:$D$30,BillionEURNEWAGE!$B854)&gt;0</f>
        <v>#VALUE!</v>
      </c>
      <c r="B854" s="33" t="s">
        <v>2251</v>
      </c>
      <c r="C854" s="33" t="s">
        <v>432</v>
      </c>
      <c r="D854" s="33" t="s">
        <v>406</v>
      </c>
      <c r="E854" s="33">
        <v>1.35530610003359</v>
      </c>
    </row>
    <row r="855" spans="1:5">
      <c r="A855" s="33" t="e">
        <f>COUNTIF([1]Regions!$D$3:$D$30,BillionEURNEWAGE!$B855)&gt;0</f>
        <v>#VALUE!</v>
      </c>
      <c r="B855" s="33" t="s">
        <v>2251</v>
      </c>
      <c r="C855" s="33" t="s">
        <v>432</v>
      </c>
      <c r="D855" s="33" t="s">
        <v>408</v>
      </c>
      <c r="E855" s="33">
        <v>1.7749007674770101</v>
      </c>
    </row>
    <row r="856" spans="1:5">
      <c r="A856" s="33" t="e">
        <f>COUNTIF([1]Regions!$D$3:$D$30,BillionEURNEWAGE!$B856)&gt;0</f>
        <v>#VALUE!</v>
      </c>
      <c r="B856" s="33" t="s">
        <v>2251</v>
      </c>
      <c r="C856" s="33" t="s">
        <v>432</v>
      </c>
      <c r="D856" s="33" t="s">
        <v>410</v>
      </c>
      <c r="E856" s="33">
        <v>20.183085605958201</v>
      </c>
    </row>
    <row r="857" spans="1:5">
      <c r="A857" s="33" t="e">
        <f>COUNTIF([1]Regions!$D$3:$D$30,BillionEURNEWAGE!$B857)&gt;0</f>
        <v>#VALUE!</v>
      </c>
      <c r="B857" s="33" t="s">
        <v>2251</v>
      </c>
      <c r="C857" s="33" t="s">
        <v>432</v>
      </c>
      <c r="D857" s="33" t="s">
        <v>411</v>
      </c>
      <c r="E857" s="33">
        <v>0.29609854487033099</v>
      </c>
    </row>
    <row r="858" spans="1:5">
      <c r="A858" s="33" t="e">
        <f>COUNTIF([1]Regions!$D$3:$D$30,BillionEURNEWAGE!$B858)&gt;0</f>
        <v>#VALUE!</v>
      </c>
      <c r="B858" s="33" t="s">
        <v>2251</v>
      </c>
      <c r="C858" s="33" t="s">
        <v>432</v>
      </c>
      <c r="D858" s="33" t="s">
        <v>414</v>
      </c>
      <c r="E858" s="33">
        <v>1.2224769569696099E-2</v>
      </c>
    </row>
    <row r="859" spans="1:5">
      <c r="A859" s="33" t="e">
        <f>COUNTIF([1]Regions!$D$3:$D$30,BillionEURNEWAGE!$B859)&gt;0</f>
        <v>#VALUE!</v>
      </c>
      <c r="B859" s="33" t="s">
        <v>2251</v>
      </c>
      <c r="C859" s="33" t="s">
        <v>432</v>
      </c>
      <c r="D859" s="33" t="s">
        <v>416</v>
      </c>
      <c r="E859" s="33">
        <v>23.613797355304499</v>
      </c>
    </row>
    <row r="860" spans="1:5">
      <c r="A860" s="33" t="e">
        <f>COUNTIF([1]Regions!$D$3:$D$30,BillionEURNEWAGE!$B860)&gt;0</f>
        <v>#VALUE!</v>
      </c>
      <c r="B860" s="33" t="s">
        <v>2251</v>
      </c>
      <c r="C860" s="33" t="s">
        <v>432</v>
      </c>
      <c r="D860" s="33" t="s">
        <v>418</v>
      </c>
      <c r="E860" s="33">
        <v>2.3909815754240999</v>
      </c>
    </row>
    <row r="861" spans="1:5">
      <c r="A861" s="33" t="e">
        <f>COUNTIF([1]Regions!$D$3:$D$30,BillionEURNEWAGE!$B861)&gt;0</f>
        <v>#VALUE!</v>
      </c>
      <c r="B861" s="33" t="s">
        <v>2251</v>
      </c>
      <c r="C861" s="33" t="s">
        <v>432</v>
      </c>
      <c r="D861" s="33" t="s">
        <v>420</v>
      </c>
      <c r="E861" s="33">
        <v>34.055259896064499</v>
      </c>
    </row>
    <row r="862" spans="1:5">
      <c r="A862" s="33" t="e">
        <f>COUNTIF([1]Regions!$D$3:$D$30,BillionEURNEWAGE!$B862)&gt;0</f>
        <v>#VALUE!</v>
      </c>
      <c r="B862" s="33" t="s">
        <v>2251</v>
      </c>
      <c r="C862" s="33" t="s">
        <v>432</v>
      </c>
      <c r="D862" s="33" t="s">
        <v>421</v>
      </c>
      <c r="E862" s="33">
        <v>39.799211895737301</v>
      </c>
    </row>
    <row r="863" spans="1:5">
      <c r="A863" s="33" t="e">
        <f>COUNTIF([1]Regions!$D$3:$D$30,BillionEURNEWAGE!$B863)&gt;0</f>
        <v>#VALUE!</v>
      </c>
      <c r="B863" s="33" t="s">
        <v>2251</v>
      </c>
      <c r="C863" s="33" t="s">
        <v>432</v>
      </c>
      <c r="D863" s="33" t="s">
        <v>423</v>
      </c>
      <c r="E863" s="33">
        <v>38.957803253144803</v>
      </c>
    </row>
    <row r="864" spans="1:5">
      <c r="A864" s="33" t="e">
        <f>COUNTIF([1]Regions!$D$3:$D$30,BillionEURNEWAGE!$B864)&gt;0</f>
        <v>#VALUE!</v>
      </c>
      <c r="B864" s="33" t="s">
        <v>2251</v>
      </c>
      <c r="C864" s="33" t="s">
        <v>432</v>
      </c>
      <c r="D864" s="33" t="s">
        <v>425</v>
      </c>
      <c r="E864" s="33">
        <v>0.17590846990694101</v>
      </c>
    </row>
    <row r="865" spans="1:5">
      <c r="A865" s="33" t="e">
        <f>COUNTIF([1]Regions!$D$3:$D$30,BillionEURNEWAGE!$B865)&gt;0</f>
        <v>#VALUE!</v>
      </c>
      <c r="B865" s="33" t="s">
        <v>2251</v>
      </c>
      <c r="C865" s="33" t="s">
        <v>432</v>
      </c>
      <c r="D865" s="33" t="s">
        <v>427</v>
      </c>
      <c r="E865" s="33">
        <v>14.2033515674526</v>
      </c>
    </row>
    <row r="866" spans="1:5">
      <c r="A866" s="33" t="e">
        <f>COUNTIF([1]Regions!$D$3:$D$30,BillionEURNEWAGE!$B866)&gt;0</f>
        <v>#VALUE!</v>
      </c>
      <c r="B866" s="33" t="s">
        <v>2251</v>
      </c>
      <c r="C866" s="33" t="s">
        <v>432</v>
      </c>
      <c r="D866" s="33" t="s">
        <v>429</v>
      </c>
      <c r="E866" s="33">
        <v>20.267053048558498</v>
      </c>
    </row>
    <row r="867" spans="1:5">
      <c r="A867" s="33" t="e">
        <f>COUNTIF([1]Regions!$D$3:$D$30,BillionEURNEWAGE!$B867)&gt;0</f>
        <v>#VALUE!</v>
      </c>
      <c r="B867" s="33" t="s">
        <v>2251</v>
      </c>
      <c r="C867" s="33" t="s">
        <v>432</v>
      </c>
      <c r="D867" s="33" t="s">
        <v>430</v>
      </c>
      <c r="E867" s="33">
        <v>19.0727872946721</v>
      </c>
    </row>
    <row r="868" spans="1:5">
      <c r="A868" s="33" t="e">
        <f>COUNTIF([1]Regions!$D$3:$D$30,BillionEURNEWAGE!$B868)&gt;0</f>
        <v>#VALUE!</v>
      </c>
      <c r="B868" s="33" t="s">
        <v>2252</v>
      </c>
      <c r="C868" s="33" t="s">
        <v>432</v>
      </c>
      <c r="D868" s="33" t="s">
        <v>401</v>
      </c>
      <c r="E868" s="33">
        <v>29.941113046685199</v>
      </c>
    </row>
    <row r="869" spans="1:5">
      <c r="A869" s="33" t="e">
        <f>COUNTIF([1]Regions!$D$3:$D$30,BillionEURNEWAGE!$B869)&gt;0</f>
        <v>#VALUE!</v>
      </c>
      <c r="B869" s="33" t="s">
        <v>2252</v>
      </c>
      <c r="C869" s="33" t="s">
        <v>432</v>
      </c>
      <c r="D869" s="33" t="s">
        <v>402</v>
      </c>
      <c r="E869" s="33">
        <v>4.5670849915226697</v>
      </c>
    </row>
    <row r="870" spans="1:5">
      <c r="A870" s="33" t="e">
        <f>COUNTIF([1]Regions!$D$3:$D$30,BillionEURNEWAGE!$B870)&gt;0</f>
        <v>#VALUE!</v>
      </c>
      <c r="B870" s="33" t="s">
        <v>2252</v>
      </c>
      <c r="C870" s="33" t="s">
        <v>432</v>
      </c>
      <c r="D870" s="33" t="s">
        <v>404</v>
      </c>
      <c r="E870" s="33">
        <v>7.8598185699938696</v>
      </c>
    </row>
    <row r="871" spans="1:5">
      <c r="A871" s="33" t="e">
        <f>COUNTIF([1]Regions!$D$3:$D$30,BillionEURNEWAGE!$B871)&gt;0</f>
        <v>#VALUE!</v>
      </c>
      <c r="B871" s="33" t="s">
        <v>2252</v>
      </c>
      <c r="C871" s="33" t="s">
        <v>432</v>
      </c>
      <c r="D871" s="33" t="s">
        <v>406</v>
      </c>
      <c r="E871" s="33">
        <v>3.4133399992499398</v>
      </c>
    </row>
    <row r="872" spans="1:5">
      <c r="A872" s="33" t="e">
        <f>COUNTIF([1]Regions!$D$3:$D$30,BillionEURNEWAGE!$B872)&gt;0</f>
        <v>#VALUE!</v>
      </c>
      <c r="B872" s="33" t="s">
        <v>2252</v>
      </c>
      <c r="C872" s="33" t="s">
        <v>432</v>
      </c>
      <c r="D872" s="33" t="s">
        <v>408</v>
      </c>
      <c r="E872" s="33">
        <v>1.1220143380746299</v>
      </c>
    </row>
    <row r="873" spans="1:5">
      <c r="A873" s="33" t="e">
        <f>COUNTIF([1]Regions!$D$3:$D$30,BillionEURNEWAGE!$B873)&gt;0</f>
        <v>#VALUE!</v>
      </c>
      <c r="B873" s="33" t="s">
        <v>2252</v>
      </c>
      <c r="C873" s="33" t="s">
        <v>432</v>
      </c>
      <c r="D873" s="33" t="s">
        <v>410</v>
      </c>
      <c r="E873" s="33">
        <v>31.53009415651</v>
      </c>
    </row>
    <row r="874" spans="1:5">
      <c r="A874" s="33" t="e">
        <f>COUNTIF([1]Regions!$D$3:$D$30,BillionEURNEWAGE!$B874)&gt;0</f>
        <v>#VALUE!</v>
      </c>
      <c r="B874" s="33" t="s">
        <v>2252</v>
      </c>
      <c r="C874" s="33" t="s">
        <v>432</v>
      </c>
      <c r="D874" s="33" t="s">
        <v>411</v>
      </c>
      <c r="E874" s="33">
        <v>2.5228964496581701</v>
      </c>
    </row>
    <row r="875" spans="1:5">
      <c r="A875" s="33" t="e">
        <f>COUNTIF([1]Regions!$D$3:$D$30,BillionEURNEWAGE!$B875)&gt;0</f>
        <v>#VALUE!</v>
      </c>
      <c r="B875" s="33" t="s">
        <v>2252</v>
      </c>
      <c r="C875" s="33" t="s">
        <v>432</v>
      </c>
      <c r="D875" s="33" t="s">
        <v>413</v>
      </c>
      <c r="E875" s="33">
        <v>0.39951734285920998</v>
      </c>
    </row>
    <row r="876" spans="1:5">
      <c r="A876" s="33" t="e">
        <f>COUNTIF([1]Regions!$D$3:$D$30,BillionEURNEWAGE!$B876)&gt;0</f>
        <v>#VALUE!</v>
      </c>
      <c r="B876" s="33" t="s">
        <v>2252</v>
      </c>
      <c r="C876" s="33" t="s">
        <v>432</v>
      </c>
      <c r="D876" s="33" t="s">
        <v>414</v>
      </c>
      <c r="E876" s="33">
        <v>4.2785484116083204E-3</v>
      </c>
    </row>
    <row r="877" spans="1:5">
      <c r="A877" s="33" t="e">
        <f>COUNTIF([1]Regions!$D$3:$D$30,BillionEURNEWAGE!$B877)&gt;0</f>
        <v>#VALUE!</v>
      </c>
      <c r="B877" s="33" t="s">
        <v>2252</v>
      </c>
      <c r="C877" s="33" t="s">
        <v>432</v>
      </c>
      <c r="D877" s="33" t="s">
        <v>416</v>
      </c>
      <c r="E877" s="33">
        <v>50.630632340521601</v>
      </c>
    </row>
    <row r="878" spans="1:5">
      <c r="A878" s="33" t="e">
        <f>COUNTIF([1]Regions!$D$3:$D$30,BillionEURNEWAGE!$B878)&gt;0</f>
        <v>#VALUE!</v>
      </c>
      <c r="B878" s="33" t="s">
        <v>2252</v>
      </c>
      <c r="C878" s="33" t="s">
        <v>432</v>
      </c>
      <c r="D878" s="33" t="s">
        <v>418</v>
      </c>
      <c r="E878" s="33">
        <v>2.7582147653025202</v>
      </c>
    </row>
    <row r="879" spans="1:5">
      <c r="A879" s="33" t="e">
        <f>COUNTIF([1]Regions!$D$3:$D$30,BillionEURNEWAGE!$B879)&gt;0</f>
        <v>#VALUE!</v>
      </c>
      <c r="B879" s="33" t="s">
        <v>2252</v>
      </c>
      <c r="C879" s="33" t="s">
        <v>432</v>
      </c>
      <c r="D879" s="33" t="s">
        <v>420</v>
      </c>
      <c r="E879" s="33">
        <v>52.3322497805786</v>
      </c>
    </row>
    <row r="880" spans="1:5">
      <c r="A880" s="33" t="e">
        <f>COUNTIF([1]Regions!$D$3:$D$30,BillionEURNEWAGE!$B880)&gt;0</f>
        <v>#VALUE!</v>
      </c>
      <c r="B880" s="33" t="s">
        <v>2252</v>
      </c>
      <c r="C880" s="33" t="s">
        <v>432</v>
      </c>
      <c r="D880" s="33" t="s">
        <v>421</v>
      </c>
      <c r="E880" s="33">
        <v>85.911396381584098</v>
      </c>
    </row>
    <row r="881" spans="1:5">
      <c r="A881" s="33" t="e">
        <f>COUNTIF([1]Regions!$D$3:$D$30,BillionEURNEWAGE!$B881)&gt;0</f>
        <v>#VALUE!</v>
      </c>
      <c r="B881" s="33" t="s">
        <v>2252</v>
      </c>
      <c r="C881" s="33" t="s">
        <v>432</v>
      </c>
      <c r="D881" s="33" t="s">
        <v>423</v>
      </c>
      <c r="E881" s="33">
        <v>72.964258750227998</v>
      </c>
    </row>
    <row r="882" spans="1:5">
      <c r="A882" s="33" t="e">
        <f>COUNTIF([1]Regions!$D$3:$D$30,BillionEURNEWAGE!$B882)&gt;0</f>
        <v>#VALUE!</v>
      </c>
      <c r="B882" s="33" t="s">
        <v>2252</v>
      </c>
      <c r="C882" s="33" t="s">
        <v>432</v>
      </c>
      <c r="D882" s="33" t="s">
        <v>425</v>
      </c>
      <c r="E882" s="33">
        <v>0.74007229368695904</v>
      </c>
    </row>
    <row r="883" spans="1:5">
      <c r="A883" s="33" t="e">
        <f>COUNTIF([1]Regions!$D$3:$D$30,BillionEURNEWAGE!$B883)&gt;0</f>
        <v>#VALUE!</v>
      </c>
      <c r="B883" s="33" t="s">
        <v>2252</v>
      </c>
      <c r="C883" s="33" t="s">
        <v>432</v>
      </c>
      <c r="D883" s="33" t="s">
        <v>427</v>
      </c>
      <c r="E883" s="33">
        <v>24.7378856790586</v>
      </c>
    </row>
    <row r="884" spans="1:5">
      <c r="A884" s="33" t="e">
        <f>COUNTIF([1]Regions!$D$3:$D$30,BillionEURNEWAGE!$B884)&gt;0</f>
        <v>#VALUE!</v>
      </c>
      <c r="B884" s="33" t="s">
        <v>2252</v>
      </c>
      <c r="C884" s="33" t="s">
        <v>432</v>
      </c>
      <c r="D884" s="33" t="s">
        <v>429</v>
      </c>
      <c r="E884" s="33">
        <v>22.326900024980901</v>
      </c>
    </row>
    <row r="885" spans="1:5">
      <c r="A885" s="33" t="e">
        <f>COUNTIF([1]Regions!$D$3:$D$30,BillionEURNEWAGE!$B885)&gt;0</f>
        <v>#VALUE!</v>
      </c>
      <c r="B885" s="33" t="s">
        <v>2252</v>
      </c>
      <c r="C885" s="33" t="s">
        <v>432</v>
      </c>
      <c r="D885" s="33" t="s">
        <v>430</v>
      </c>
      <c r="E885" s="33">
        <v>48.167672854388698</v>
      </c>
    </row>
    <row r="886" spans="1:5" hidden="1">
      <c r="A886" s="33" t="e">
        <f>COUNTIF([1]Regions!$D$3:$D$30,BillionEURNEWAGE!$B886)&gt;0</f>
        <v>#VALUE!</v>
      </c>
      <c r="B886" s="33" t="s">
        <v>2235</v>
      </c>
      <c r="C886" s="33" t="s">
        <v>2254</v>
      </c>
      <c r="D886" s="33" t="s">
        <v>401</v>
      </c>
      <c r="E886" s="34">
        <v>5.8006418413235103E-5</v>
      </c>
    </row>
    <row r="887" spans="1:5" hidden="1">
      <c r="A887" s="33" t="e">
        <f>COUNTIF([1]Regions!$D$3:$D$30,BillionEURNEWAGE!$B887)&gt;0</f>
        <v>#VALUE!</v>
      </c>
      <c r="B887" s="33" t="s">
        <v>2235</v>
      </c>
      <c r="C887" s="33" t="s">
        <v>2254</v>
      </c>
      <c r="D887" s="33" t="s">
        <v>402</v>
      </c>
      <c r="E887" s="33">
        <v>2.89921387025414E-4</v>
      </c>
    </row>
    <row r="888" spans="1:5" hidden="1">
      <c r="A888" s="33" t="e">
        <f>COUNTIF([1]Regions!$D$3:$D$30,BillionEURNEWAGE!$B888)&gt;0</f>
        <v>#VALUE!</v>
      </c>
      <c r="B888" s="33" t="s">
        <v>2235</v>
      </c>
      <c r="C888" s="33" t="s">
        <v>2254</v>
      </c>
      <c r="D888" s="33" t="s">
        <v>404</v>
      </c>
      <c r="E888" s="33">
        <v>0.25825883056085702</v>
      </c>
    </row>
    <row r="889" spans="1:5" hidden="1">
      <c r="A889" s="33" t="e">
        <f>COUNTIF([1]Regions!$D$3:$D$30,BillionEURNEWAGE!$B889)&gt;0</f>
        <v>#VALUE!</v>
      </c>
      <c r="B889" s="33" t="s">
        <v>2235</v>
      </c>
      <c r="C889" s="33" t="s">
        <v>2254</v>
      </c>
      <c r="D889" s="33" t="s">
        <v>406</v>
      </c>
      <c r="E889" s="33">
        <v>2.17067985340831E-4</v>
      </c>
    </row>
    <row r="890" spans="1:5" hidden="1">
      <c r="A890" s="33" t="e">
        <f>COUNTIF([1]Regions!$D$3:$D$30,BillionEURNEWAGE!$B890)&gt;0</f>
        <v>#VALUE!</v>
      </c>
      <c r="B890" s="33" t="s">
        <v>2235</v>
      </c>
      <c r="C890" s="33" t="s">
        <v>2254</v>
      </c>
      <c r="D890" s="33" t="s">
        <v>410</v>
      </c>
      <c r="E890" s="33">
        <v>0.17761228665334799</v>
      </c>
    </row>
    <row r="891" spans="1:5" hidden="1">
      <c r="A891" s="33" t="e">
        <f>COUNTIF([1]Regions!$D$3:$D$30,BillionEURNEWAGE!$B891)&gt;0</f>
        <v>#VALUE!</v>
      </c>
      <c r="B891" s="33" t="s">
        <v>2235</v>
      </c>
      <c r="C891" s="33" t="s">
        <v>2254</v>
      </c>
      <c r="D891" s="33" t="s">
        <v>411</v>
      </c>
      <c r="E891" s="34">
        <v>1.01996446456509E-5</v>
      </c>
    </row>
    <row r="892" spans="1:5" hidden="1">
      <c r="A892" s="33" t="e">
        <f>COUNTIF([1]Regions!$D$3:$D$30,BillionEURNEWAGE!$B892)&gt;0</f>
        <v>#VALUE!</v>
      </c>
      <c r="B892" s="33" t="s">
        <v>2235</v>
      </c>
      <c r="C892" s="33" t="s">
        <v>2254</v>
      </c>
      <c r="D892" s="33" t="s">
        <v>413</v>
      </c>
      <c r="E892" s="34">
        <v>1.55019461563168E-5</v>
      </c>
    </row>
    <row r="893" spans="1:5" hidden="1">
      <c r="A893" s="33" t="e">
        <f>COUNTIF([1]Regions!$D$3:$D$30,BillionEURNEWAGE!$B893)&gt;0</f>
        <v>#VALUE!</v>
      </c>
      <c r="B893" s="33" t="s">
        <v>2235</v>
      </c>
      <c r="C893" s="33" t="s">
        <v>2254</v>
      </c>
      <c r="D893" s="33" t="s">
        <v>416</v>
      </c>
      <c r="E893" s="33">
        <v>0.36487839870171601</v>
      </c>
    </row>
    <row r="894" spans="1:5" hidden="1">
      <c r="A894" s="33" t="e">
        <f>COUNTIF([1]Regions!$D$3:$D$30,BillionEURNEWAGE!$B894)&gt;0</f>
        <v>#VALUE!</v>
      </c>
      <c r="B894" s="33" t="s">
        <v>2235</v>
      </c>
      <c r="C894" s="33" t="s">
        <v>2254</v>
      </c>
      <c r="D894" s="33" t="s">
        <v>420</v>
      </c>
      <c r="E894" s="33">
        <v>0.973146202629387</v>
      </c>
    </row>
    <row r="895" spans="1:5" hidden="1">
      <c r="A895" s="33" t="e">
        <f>COUNTIF([1]Regions!$D$3:$D$30,BillionEURNEWAGE!$B895)&gt;0</f>
        <v>#VALUE!</v>
      </c>
      <c r="B895" s="33" t="s">
        <v>2235</v>
      </c>
      <c r="C895" s="33" t="s">
        <v>2254</v>
      </c>
      <c r="D895" s="33" t="s">
        <v>421</v>
      </c>
      <c r="E895" s="33">
        <v>2.2143676499384E-2</v>
      </c>
    </row>
    <row r="896" spans="1:5" hidden="1">
      <c r="A896" s="33" t="e">
        <f>COUNTIF([1]Regions!$D$3:$D$30,BillionEURNEWAGE!$B896)&gt;0</f>
        <v>#VALUE!</v>
      </c>
      <c r="B896" s="33" t="s">
        <v>2235</v>
      </c>
      <c r="C896" s="33" t="s">
        <v>2254</v>
      </c>
      <c r="D896" s="33" t="s">
        <v>423</v>
      </c>
      <c r="E896" s="33">
        <v>0.108210755413647</v>
      </c>
    </row>
    <row r="897" spans="1:5" hidden="1">
      <c r="A897" s="33" t="e">
        <f>COUNTIF([1]Regions!$D$3:$D$30,BillionEURNEWAGE!$B897)&gt;0</f>
        <v>#VALUE!</v>
      </c>
      <c r="B897" s="33" t="s">
        <v>2235</v>
      </c>
      <c r="C897" s="33" t="s">
        <v>2254</v>
      </c>
      <c r="D897" s="33" t="s">
        <v>425</v>
      </c>
      <c r="E897" s="33">
        <v>3.6069586528681802E-4</v>
      </c>
    </row>
    <row r="898" spans="1:5" hidden="1">
      <c r="A898" s="33" t="e">
        <f>COUNTIF([1]Regions!$D$3:$D$30,BillionEURNEWAGE!$B898)&gt;0</f>
        <v>#VALUE!</v>
      </c>
      <c r="B898" s="33" t="s">
        <v>2235</v>
      </c>
      <c r="C898" s="33" t="s">
        <v>2254</v>
      </c>
      <c r="D898" s="33" t="s">
        <v>427</v>
      </c>
      <c r="E898" s="33">
        <v>8.1708714003993696E-2</v>
      </c>
    </row>
    <row r="899" spans="1:5" hidden="1">
      <c r="A899" s="33" t="e">
        <f>COUNTIF([1]Regions!$D$3:$D$30,BillionEURNEWAGE!$B899)&gt;0</f>
        <v>#VALUE!</v>
      </c>
      <c r="B899" s="33" t="s">
        <v>2235</v>
      </c>
      <c r="C899" s="33" t="s">
        <v>2254</v>
      </c>
      <c r="D899" s="33" t="s">
        <v>429</v>
      </c>
      <c r="E899" s="33">
        <v>1.41851673596809E-2</v>
      </c>
    </row>
    <row r="900" spans="1:5" hidden="1">
      <c r="A900" s="33" t="e">
        <f>COUNTIF([1]Regions!$D$3:$D$30,BillionEURNEWAGE!$B900)&gt;0</f>
        <v>#VALUE!</v>
      </c>
      <c r="B900" s="33" t="s">
        <v>2235</v>
      </c>
      <c r="C900" s="33" t="s">
        <v>2254</v>
      </c>
      <c r="D900" s="33" t="s">
        <v>430</v>
      </c>
      <c r="E900" s="33">
        <v>2.45972469297734</v>
      </c>
    </row>
    <row r="901" spans="1:5" hidden="1">
      <c r="A901" s="33" t="e">
        <f>COUNTIF([1]Regions!$D$3:$D$30,BillionEURNEWAGE!$B901)&gt;0</f>
        <v>#VALUE!</v>
      </c>
      <c r="B901" s="33" t="s">
        <v>2236</v>
      </c>
      <c r="C901" s="33" t="s">
        <v>2254</v>
      </c>
      <c r="D901" s="33" t="s">
        <v>401</v>
      </c>
      <c r="E901" s="34">
        <v>3.81779547504441E-5</v>
      </c>
    </row>
    <row r="902" spans="1:5" hidden="1">
      <c r="A902" s="33" t="e">
        <f>COUNTIF([1]Regions!$D$3:$D$30,BillionEURNEWAGE!$B902)&gt;0</f>
        <v>#VALUE!</v>
      </c>
      <c r="B902" s="33" t="s">
        <v>2236</v>
      </c>
      <c r="C902" s="33" t="s">
        <v>2254</v>
      </c>
      <c r="D902" s="33" t="s">
        <v>404</v>
      </c>
      <c r="E902" s="33">
        <v>3.0493757073915101E-4</v>
      </c>
    </row>
    <row r="903" spans="1:5" hidden="1">
      <c r="A903" s="33" t="e">
        <f>COUNTIF([1]Regions!$D$3:$D$30,BillionEURNEWAGE!$B903)&gt;0</f>
        <v>#VALUE!</v>
      </c>
      <c r="B903" s="33" t="s">
        <v>2236</v>
      </c>
      <c r="C903" s="33" t="s">
        <v>2254</v>
      </c>
      <c r="D903" s="33" t="s">
        <v>406</v>
      </c>
      <c r="E903" s="34">
        <v>1.03297685841941E-5</v>
      </c>
    </row>
    <row r="904" spans="1:5" hidden="1">
      <c r="A904" s="33" t="e">
        <f>COUNTIF([1]Regions!$D$3:$D$30,BillionEURNEWAGE!$B904)&gt;0</f>
        <v>#VALUE!</v>
      </c>
      <c r="B904" s="33" t="s">
        <v>2236</v>
      </c>
      <c r="C904" s="33" t="s">
        <v>2254</v>
      </c>
      <c r="D904" s="33" t="s">
        <v>410</v>
      </c>
      <c r="E904" s="33">
        <v>1.62584228789481E-4</v>
      </c>
    </row>
    <row r="905" spans="1:5" hidden="1">
      <c r="A905" s="33" t="e">
        <f>COUNTIF([1]Regions!$D$3:$D$30,BillionEURNEWAGE!$B905)&gt;0</f>
        <v>#VALUE!</v>
      </c>
      <c r="B905" s="33" t="s">
        <v>2236</v>
      </c>
      <c r="C905" s="33" t="s">
        <v>2254</v>
      </c>
      <c r="D905" s="33" t="s">
        <v>416</v>
      </c>
      <c r="E905" s="33">
        <v>0.588212132196133</v>
      </c>
    </row>
    <row r="906" spans="1:5" hidden="1">
      <c r="A906" s="33" t="e">
        <f>COUNTIF([1]Regions!$D$3:$D$30,BillionEURNEWAGE!$B906)&gt;0</f>
        <v>#VALUE!</v>
      </c>
      <c r="B906" s="33" t="s">
        <v>2236</v>
      </c>
      <c r="C906" s="33" t="s">
        <v>2254</v>
      </c>
      <c r="D906" s="33" t="s">
        <v>420</v>
      </c>
      <c r="E906" s="33">
        <v>7.3989269263746799E-2</v>
      </c>
    </row>
    <row r="907" spans="1:5" hidden="1">
      <c r="A907" s="33" t="e">
        <f>COUNTIF([1]Regions!$D$3:$D$30,BillionEURNEWAGE!$B907)&gt;0</f>
        <v>#VALUE!</v>
      </c>
      <c r="B907" s="33" t="s">
        <v>2236</v>
      </c>
      <c r="C907" s="33" t="s">
        <v>2254</v>
      </c>
      <c r="D907" s="33" t="s">
        <v>421</v>
      </c>
      <c r="E907" s="33">
        <v>2.1929876647672802E-2</v>
      </c>
    </row>
    <row r="908" spans="1:5" hidden="1">
      <c r="A908" s="33" t="e">
        <f>COUNTIF([1]Regions!$D$3:$D$30,BillionEURNEWAGE!$B908)&gt;0</f>
        <v>#VALUE!</v>
      </c>
      <c r="B908" s="33" t="s">
        <v>2236</v>
      </c>
      <c r="C908" s="33" t="s">
        <v>2254</v>
      </c>
      <c r="D908" s="33" t="s">
        <v>423</v>
      </c>
      <c r="E908" s="33">
        <v>2.9500598836667401E-2</v>
      </c>
    </row>
    <row r="909" spans="1:5" hidden="1">
      <c r="A909" s="33" t="e">
        <f>COUNTIF([1]Regions!$D$3:$D$30,BillionEURNEWAGE!$B909)&gt;0</f>
        <v>#VALUE!</v>
      </c>
      <c r="B909" s="33" t="s">
        <v>2236</v>
      </c>
      <c r="C909" s="33" t="s">
        <v>2254</v>
      </c>
      <c r="D909" s="33" t="s">
        <v>425</v>
      </c>
      <c r="E909" s="34">
        <v>1.2093999873657401E-5</v>
      </c>
    </row>
    <row r="910" spans="1:5" hidden="1">
      <c r="A910" s="33" t="e">
        <f>COUNTIF([1]Regions!$D$3:$D$30,BillionEURNEWAGE!$B910)&gt;0</f>
        <v>#VALUE!</v>
      </c>
      <c r="B910" s="33" t="s">
        <v>2236</v>
      </c>
      <c r="C910" s="33" t="s">
        <v>2254</v>
      </c>
      <c r="D910" s="33" t="s">
        <v>427</v>
      </c>
      <c r="E910" s="33">
        <v>3.7215417035531599E-2</v>
      </c>
    </row>
    <row r="911" spans="1:5" hidden="1">
      <c r="A911" s="33" t="e">
        <f>COUNTIF([1]Regions!$D$3:$D$30,BillionEURNEWAGE!$B911)&gt;0</f>
        <v>#VALUE!</v>
      </c>
      <c r="B911" s="33" t="s">
        <v>2236</v>
      </c>
      <c r="C911" s="33" t="s">
        <v>2254</v>
      </c>
      <c r="D911" s="33" t="s">
        <v>429</v>
      </c>
      <c r="E911" s="33">
        <v>5.3619550946260204E-4</v>
      </c>
    </row>
    <row r="912" spans="1:5" hidden="1">
      <c r="A912" s="33" t="e">
        <f>COUNTIF([1]Regions!$D$3:$D$30,BillionEURNEWAGE!$B912)&gt;0</f>
        <v>#VALUE!</v>
      </c>
      <c r="B912" s="33" t="s">
        <v>2236</v>
      </c>
      <c r="C912" s="33" t="s">
        <v>2254</v>
      </c>
      <c r="D912" s="33" t="s">
        <v>430</v>
      </c>
      <c r="E912" s="33">
        <v>0.45342611933181698</v>
      </c>
    </row>
    <row r="913" spans="1:5" hidden="1">
      <c r="A913" s="33" t="e">
        <f>COUNTIF([1]Regions!$D$3:$D$30,BillionEURNEWAGE!$B913)&gt;0</f>
        <v>#VALUE!</v>
      </c>
      <c r="B913" s="33" t="s">
        <v>2237</v>
      </c>
      <c r="C913" s="33" t="s">
        <v>2254</v>
      </c>
      <c r="D913" s="33" t="s">
        <v>401</v>
      </c>
      <c r="E913" s="34">
        <v>1.5193091157847701E-5</v>
      </c>
    </row>
    <row r="914" spans="1:5" hidden="1">
      <c r="A914" s="33" t="e">
        <f>COUNTIF([1]Regions!$D$3:$D$30,BillionEURNEWAGE!$B914)&gt;0</f>
        <v>#VALUE!</v>
      </c>
      <c r="B914" s="33" t="s">
        <v>2237</v>
      </c>
      <c r="C914" s="33" t="s">
        <v>2254</v>
      </c>
      <c r="D914" s="33" t="s">
        <v>404</v>
      </c>
      <c r="E914" s="34">
        <v>8.2926121922152399E-5</v>
      </c>
    </row>
    <row r="915" spans="1:5" hidden="1">
      <c r="A915" s="33" t="e">
        <f>COUNTIF([1]Regions!$D$3:$D$30,BillionEURNEWAGE!$B915)&gt;0</f>
        <v>#VALUE!</v>
      </c>
      <c r="B915" s="33" t="s">
        <v>2237</v>
      </c>
      <c r="C915" s="33" t="s">
        <v>2254</v>
      </c>
      <c r="D915" s="33" t="s">
        <v>406</v>
      </c>
      <c r="E915" s="34">
        <v>2.5906006969286702E-6</v>
      </c>
    </row>
    <row r="916" spans="1:5" hidden="1">
      <c r="A916" s="33" t="e">
        <f>COUNTIF([1]Regions!$D$3:$D$30,BillionEURNEWAGE!$B916)&gt;0</f>
        <v>#VALUE!</v>
      </c>
      <c r="B916" s="33" t="s">
        <v>2237</v>
      </c>
      <c r="C916" s="33" t="s">
        <v>2254</v>
      </c>
      <c r="D916" s="33" t="s">
        <v>410</v>
      </c>
      <c r="E916" s="34">
        <v>6.2472009756422796E-5</v>
      </c>
    </row>
    <row r="917" spans="1:5" hidden="1">
      <c r="A917" s="33" t="e">
        <f>COUNTIF([1]Regions!$D$3:$D$30,BillionEURNEWAGE!$B917)&gt;0</f>
        <v>#VALUE!</v>
      </c>
      <c r="B917" s="33" t="s">
        <v>2237</v>
      </c>
      <c r="C917" s="33" t="s">
        <v>2254</v>
      </c>
      <c r="D917" s="33" t="s">
        <v>416</v>
      </c>
      <c r="E917" s="33">
        <v>0.12954185883351901</v>
      </c>
    </row>
    <row r="918" spans="1:5" hidden="1">
      <c r="A918" s="33" t="e">
        <f>COUNTIF([1]Regions!$D$3:$D$30,BillionEURNEWAGE!$B918)&gt;0</f>
        <v>#VALUE!</v>
      </c>
      <c r="B918" s="33" t="s">
        <v>2237</v>
      </c>
      <c r="C918" s="33" t="s">
        <v>2254</v>
      </c>
      <c r="D918" s="33" t="s">
        <v>420</v>
      </c>
      <c r="E918" s="33">
        <v>2.1594007099758498E-2</v>
      </c>
    </row>
    <row r="919" spans="1:5" hidden="1">
      <c r="A919" s="33" t="e">
        <f>COUNTIF([1]Regions!$D$3:$D$30,BillionEURNEWAGE!$B919)&gt;0</f>
        <v>#VALUE!</v>
      </c>
      <c r="B919" s="33" t="s">
        <v>2237</v>
      </c>
      <c r="C919" s="33" t="s">
        <v>2254</v>
      </c>
      <c r="D919" s="33" t="s">
        <v>421</v>
      </c>
      <c r="E919" s="33">
        <v>4.4745271276910303E-3</v>
      </c>
    </row>
    <row r="920" spans="1:5" hidden="1">
      <c r="A920" s="33" t="e">
        <f>COUNTIF([1]Regions!$D$3:$D$30,BillionEURNEWAGE!$B920)&gt;0</f>
        <v>#VALUE!</v>
      </c>
      <c r="B920" s="33" t="s">
        <v>2237</v>
      </c>
      <c r="C920" s="33" t="s">
        <v>2254</v>
      </c>
      <c r="D920" s="33" t="s">
        <v>423</v>
      </c>
      <c r="E920" s="33">
        <v>1.05532468126073E-2</v>
      </c>
    </row>
    <row r="921" spans="1:5" hidden="1">
      <c r="A921" s="33" t="e">
        <f>COUNTIF([1]Regions!$D$3:$D$30,BillionEURNEWAGE!$B921)&gt;0</f>
        <v>#VALUE!</v>
      </c>
      <c r="B921" s="33" t="s">
        <v>2237</v>
      </c>
      <c r="C921" s="33" t="s">
        <v>2254</v>
      </c>
      <c r="D921" s="33" t="s">
        <v>425</v>
      </c>
      <c r="E921" s="34">
        <v>1.6096153801825499E-5</v>
      </c>
    </row>
    <row r="922" spans="1:5" hidden="1">
      <c r="A922" s="33" t="e">
        <f>COUNTIF([1]Regions!$D$3:$D$30,BillionEURNEWAGE!$B922)&gt;0</f>
        <v>#VALUE!</v>
      </c>
      <c r="B922" s="33" t="s">
        <v>2237</v>
      </c>
      <c r="C922" s="33" t="s">
        <v>2254</v>
      </c>
      <c r="D922" s="33" t="s">
        <v>427</v>
      </c>
      <c r="E922" s="33">
        <v>0.11619711619423501</v>
      </c>
    </row>
    <row r="923" spans="1:5" hidden="1">
      <c r="A923" s="33" t="e">
        <f>COUNTIF([1]Regions!$D$3:$D$30,BillionEURNEWAGE!$B923)&gt;0</f>
        <v>#VALUE!</v>
      </c>
      <c r="B923" s="33" t="s">
        <v>2237</v>
      </c>
      <c r="C923" s="33" t="s">
        <v>2254</v>
      </c>
      <c r="D923" s="33" t="s">
        <v>429</v>
      </c>
      <c r="E923" s="33">
        <v>1.8426009324086601E-4</v>
      </c>
    </row>
    <row r="924" spans="1:5" hidden="1">
      <c r="A924" s="33" t="e">
        <f>COUNTIF([1]Regions!$D$3:$D$30,BillionEURNEWAGE!$B924)&gt;0</f>
        <v>#VALUE!</v>
      </c>
      <c r="B924" s="33" t="s">
        <v>2237</v>
      </c>
      <c r="C924" s="33" t="s">
        <v>2254</v>
      </c>
      <c r="D924" s="33" t="s">
        <v>430</v>
      </c>
      <c r="E924" s="33">
        <v>4.3334880229203598</v>
      </c>
    </row>
    <row r="925" spans="1:5" hidden="1">
      <c r="A925" s="33" t="e">
        <f>COUNTIF([1]Regions!$D$3:$D$30,BillionEURNEWAGE!$B925)&gt;0</f>
        <v>#VALUE!</v>
      </c>
      <c r="B925" s="33" t="s">
        <v>2238</v>
      </c>
      <c r="C925" s="33" t="s">
        <v>2254</v>
      </c>
      <c r="D925" s="33" t="s">
        <v>401</v>
      </c>
      <c r="E925" s="34">
        <v>7.7684852145110507E-6</v>
      </c>
    </row>
    <row r="926" spans="1:5" hidden="1">
      <c r="A926" s="33" t="e">
        <f>COUNTIF([1]Regions!$D$3:$D$30,BillionEURNEWAGE!$B926)&gt;0</f>
        <v>#VALUE!</v>
      </c>
      <c r="B926" s="33" t="s">
        <v>2238</v>
      </c>
      <c r="C926" s="33" t="s">
        <v>2254</v>
      </c>
      <c r="D926" s="33" t="s">
        <v>404</v>
      </c>
      <c r="E926" s="34">
        <v>8.9572108036577394E-5</v>
      </c>
    </row>
    <row r="927" spans="1:5" hidden="1">
      <c r="A927" s="33" t="e">
        <f>COUNTIF([1]Regions!$D$3:$D$30,BillionEURNEWAGE!$B927)&gt;0</f>
        <v>#VALUE!</v>
      </c>
      <c r="B927" s="33" t="s">
        <v>2238</v>
      </c>
      <c r="C927" s="33" t="s">
        <v>2254</v>
      </c>
      <c r="D927" s="33" t="s">
        <v>406</v>
      </c>
      <c r="E927" s="34">
        <v>3.2482232914405998E-6</v>
      </c>
    </row>
    <row r="928" spans="1:5" hidden="1">
      <c r="A928" s="33" t="e">
        <f>COUNTIF([1]Regions!$D$3:$D$30,BillionEURNEWAGE!$B928)&gt;0</f>
        <v>#VALUE!</v>
      </c>
      <c r="B928" s="33" t="s">
        <v>2238</v>
      </c>
      <c r="C928" s="33" t="s">
        <v>2254</v>
      </c>
      <c r="D928" s="33" t="s">
        <v>410</v>
      </c>
      <c r="E928" s="34">
        <v>7.6149297638605106E-5</v>
      </c>
    </row>
    <row r="929" spans="1:5" hidden="1">
      <c r="A929" s="33" t="e">
        <f>COUNTIF([1]Regions!$D$3:$D$30,BillionEURNEWAGE!$B929)&gt;0</f>
        <v>#VALUE!</v>
      </c>
      <c r="B929" s="33" t="s">
        <v>2238</v>
      </c>
      <c r="C929" s="33" t="s">
        <v>2254</v>
      </c>
      <c r="D929" s="33" t="s">
        <v>416</v>
      </c>
      <c r="E929" s="33">
        <v>14.2737813982944</v>
      </c>
    </row>
    <row r="930" spans="1:5" hidden="1">
      <c r="A930" s="33" t="e">
        <f>COUNTIF([1]Regions!$D$3:$D$30,BillionEURNEWAGE!$B930)&gt;0</f>
        <v>#VALUE!</v>
      </c>
      <c r="B930" s="33" t="s">
        <v>2238</v>
      </c>
      <c r="C930" s="33" t="s">
        <v>2254</v>
      </c>
      <c r="D930" s="33" t="s">
        <v>420</v>
      </c>
      <c r="E930" s="33">
        <v>0.84759869311382896</v>
      </c>
    </row>
    <row r="931" spans="1:5" hidden="1">
      <c r="A931" s="33" t="e">
        <f>COUNTIF([1]Regions!$D$3:$D$30,BillionEURNEWAGE!$B931)&gt;0</f>
        <v>#VALUE!</v>
      </c>
      <c r="B931" s="33" t="s">
        <v>2238</v>
      </c>
      <c r="C931" s="33" t="s">
        <v>2254</v>
      </c>
      <c r="D931" s="33" t="s">
        <v>421</v>
      </c>
      <c r="E931" s="33">
        <v>5.3278659051026597E-3</v>
      </c>
    </row>
    <row r="932" spans="1:5" hidden="1">
      <c r="A932" s="33" t="e">
        <f>COUNTIF([1]Regions!$D$3:$D$30,BillionEURNEWAGE!$B932)&gt;0</f>
        <v>#VALUE!</v>
      </c>
      <c r="B932" s="33" t="s">
        <v>2238</v>
      </c>
      <c r="C932" s="33" t="s">
        <v>2254</v>
      </c>
      <c r="D932" s="33" t="s">
        <v>423</v>
      </c>
      <c r="E932" s="33">
        <v>9.0142248840702002E-3</v>
      </c>
    </row>
    <row r="933" spans="1:5" hidden="1">
      <c r="A933" s="33" t="e">
        <f>COUNTIF([1]Regions!$D$3:$D$30,BillionEURNEWAGE!$B933)&gt;0</f>
        <v>#VALUE!</v>
      </c>
      <c r="B933" s="33" t="s">
        <v>2238</v>
      </c>
      <c r="C933" s="33" t="s">
        <v>2254</v>
      </c>
      <c r="D933" s="33" t="s">
        <v>425</v>
      </c>
      <c r="E933" s="34">
        <v>5.2088268322452602E-7</v>
      </c>
    </row>
    <row r="934" spans="1:5" hidden="1">
      <c r="A934" s="33" t="e">
        <f>COUNTIF([1]Regions!$D$3:$D$30,BillionEURNEWAGE!$B934)&gt;0</f>
        <v>#VALUE!</v>
      </c>
      <c r="B934" s="33" t="s">
        <v>2238</v>
      </c>
      <c r="C934" s="33" t="s">
        <v>2254</v>
      </c>
      <c r="D934" s="33" t="s">
        <v>427</v>
      </c>
      <c r="E934" s="33">
        <v>0.667431632276553</v>
      </c>
    </row>
    <row r="935" spans="1:5" hidden="1">
      <c r="A935" s="33" t="e">
        <f>COUNTIF([1]Regions!$D$3:$D$30,BillionEURNEWAGE!$B935)&gt;0</f>
        <v>#VALUE!</v>
      </c>
      <c r="B935" s="33" t="s">
        <v>2238</v>
      </c>
      <c r="C935" s="33" t="s">
        <v>2254</v>
      </c>
      <c r="D935" s="33" t="s">
        <v>429</v>
      </c>
      <c r="E935" s="33">
        <v>1.48204005436848E-3</v>
      </c>
    </row>
    <row r="936" spans="1:5" hidden="1">
      <c r="A936" s="33" t="e">
        <f>COUNTIF([1]Regions!$D$3:$D$30,BillionEURNEWAGE!$B936)&gt;0</f>
        <v>#VALUE!</v>
      </c>
      <c r="B936" s="33" t="s">
        <v>2238</v>
      </c>
      <c r="C936" s="33" t="s">
        <v>2254</v>
      </c>
      <c r="D936" s="33" t="s">
        <v>430</v>
      </c>
      <c r="E936" s="33">
        <v>8.3171613714288206</v>
      </c>
    </row>
    <row r="937" spans="1:5" hidden="1">
      <c r="A937" s="33" t="e">
        <f>COUNTIF([1]Regions!$D$3:$D$30,BillionEURNEWAGE!$B937)&gt;0</f>
        <v>#VALUE!</v>
      </c>
      <c r="B937" s="33" t="s">
        <v>2239</v>
      </c>
      <c r="C937" s="33" t="s">
        <v>2254</v>
      </c>
      <c r="D937" s="33" t="s">
        <v>401</v>
      </c>
      <c r="E937" s="34">
        <v>9.3945505638652401E-6</v>
      </c>
    </row>
    <row r="938" spans="1:5" hidden="1">
      <c r="A938" s="33" t="e">
        <f>COUNTIF([1]Regions!$D$3:$D$30,BillionEURNEWAGE!$B938)&gt;0</f>
        <v>#VALUE!</v>
      </c>
      <c r="B938" s="33" t="s">
        <v>2239</v>
      </c>
      <c r="C938" s="33" t="s">
        <v>2254</v>
      </c>
      <c r="D938" s="33" t="s">
        <v>404</v>
      </c>
      <c r="E938" s="34">
        <v>5.76929024434726E-5</v>
      </c>
    </row>
    <row r="939" spans="1:5" hidden="1">
      <c r="A939" s="33" t="e">
        <f>COUNTIF([1]Regions!$D$3:$D$30,BillionEURNEWAGE!$B939)&gt;0</f>
        <v>#VALUE!</v>
      </c>
      <c r="B939" s="33" t="s">
        <v>2239</v>
      </c>
      <c r="C939" s="33" t="s">
        <v>2254</v>
      </c>
      <c r="D939" s="33" t="s">
        <v>406</v>
      </c>
      <c r="E939" s="34">
        <v>1.5851533762899899E-6</v>
      </c>
    </row>
    <row r="940" spans="1:5" hidden="1">
      <c r="A940" s="33" t="e">
        <f>COUNTIF([1]Regions!$D$3:$D$30,BillionEURNEWAGE!$B940)&gt;0</f>
        <v>#VALUE!</v>
      </c>
      <c r="B940" s="33" t="s">
        <v>2239</v>
      </c>
      <c r="C940" s="33" t="s">
        <v>2254</v>
      </c>
      <c r="D940" s="33" t="s">
        <v>410</v>
      </c>
      <c r="E940" s="34">
        <v>2.88347433109143E-5</v>
      </c>
    </row>
    <row r="941" spans="1:5" hidden="1">
      <c r="A941" s="33" t="e">
        <f>COUNTIF([1]Regions!$D$3:$D$30,BillionEURNEWAGE!$B941)&gt;0</f>
        <v>#VALUE!</v>
      </c>
      <c r="B941" s="33" t="s">
        <v>2239</v>
      </c>
      <c r="C941" s="33" t="s">
        <v>2254</v>
      </c>
      <c r="D941" s="33" t="s">
        <v>416</v>
      </c>
      <c r="E941" s="33">
        <v>8.0001580110217393E-2</v>
      </c>
    </row>
    <row r="942" spans="1:5" hidden="1">
      <c r="A942" s="33" t="e">
        <f>COUNTIF([1]Regions!$D$3:$D$30,BillionEURNEWAGE!$B942)&gt;0</f>
        <v>#VALUE!</v>
      </c>
      <c r="B942" s="33" t="s">
        <v>2239</v>
      </c>
      <c r="C942" s="33" t="s">
        <v>2254</v>
      </c>
      <c r="D942" s="33" t="s">
        <v>420</v>
      </c>
      <c r="E942" s="33">
        <v>7.8121041912576203E-3</v>
      </c>
    </row>
    <row r="943" spans="1:5" hidden="1">
      <c r="A943" s="33" t="e">
        <f>COUNTIF([1]Regions!$D$3:$D$30,BillionEURNEWAGE!$B943)&gt;0</f>
        <v>#VALUE!</v>
      </c>
      <c r="B943" s="33" t="s">
        <v>2239</v>
      </c>
      <c r="C943" s="33" t="s">
        <v>2254</v>
      </c>
      <c r="D943" s="33" t="s">
        <v>421</v>
      </c>
      <c r="E943" s="33">
        <v>2.7792905507869601E-3</v>
      </c>
    </row>
    <row r="944" spans="1:5" hidden="1">
      <c r="A944" s="33" t="e">
        <f>COUNTIF([1]Regions!$D$3:$D$30,BillionEURNEWAGE!$B944)&gt;0</f>
        <v>#VALUE!</v>
      </c>
      <c r="B944" s="33" t="s">
        <v>2239</v>
      </c>
      <c r="C944" s="33" t="s">
        <v>2254</v>
      </c>
      <c r="D944" s="33" t="s">
        <v>423</v>
      </c>
      <c r="E944" s="33">
        <v>9.4255928941640102E-3</v>
      </c>
    </row>
    <row r="945" spans="1:5" hidden="1">
      <c r="A945" s="33" t="e">
        <f>COUNTIF([1]Regions!$D$3:$D$30,BillionEURNEWAGE!$B945)&gt;0</f>
        <v>#VALUE!</v>
      </c>
      <c r="B945" s="33" t="s">
        <v>2239</v>
      </c>
      <c r="C945" s="33" t="s">
        <v>2254</v>
      </c>
      <c r="D945" s="33" t="s">
        <v>425</v>
      </c>
      <c r="E945" s="34">
        <v>1.21864098067044E-6</v>
      </c>
    </row>
    <row r="946" spans="1:5" hidden="1">
      <c r="A946" s="33" t="e">
        <f>COUNTIF([1]Regions!$D$3:$D$30,BillionEURNEWAGE!$B946)&gt;0</f>
        <v>#VALUE!</v>
      </c>
      <c r="B946" s="33" t="s">
        <v>2239</v>
      </c>
      <c r="C946" s="33" t="s">
        <v>2254</v>
      </c>
      <c r="D946" s="33" t="s">
        <v>427</v>
      </c>
      <c r="E946" s="33">
        <v>6.1698057794561702E-2</v>
      </c>
    </row>
    <row r="947" spans="1:5" hidden="1">
      <c r="A947" s="33" t="e">
        <f>COUNTIF([1]Regions!$D$3:$D$30,BillionEURNEWAGE!$B947)&gt;0</f>
        <v>#VALUE!</v>
      </c>
      <c r="B947" s="33" t="s">
        <v>2239</v>
      </c>
      <c r="C947" s="33" t="s">
        <v>2254</v>
      </c>
      <c r="D947" s="33" t="s">
        <v>429</v>
      </c>
      <c r="E947" s="33">
        <v>2.0868847049896101E-2</v>
      </c>
    </row>
    <row r="948" spans="1:5" hidden="1">
      <c r="A948" s="33" t="e">
        <f>COUNTIF([1]Regions!$D$3:$D$30,BillionEURNEWAGE!$B948)&gt;0</f>
        <v>#VALUE!</v>
      </c>
      <c r="B948" s="33" t="s">
        <v>2239</v>
      </c>
      <c r="C948" s="33" t="s">
        <v>2254</v>
      </c>
      <c r="D948" s="33" t="s">
        <v>430</v>
      </c>
      <c r="E948" s="33">
        <v>3.08881302155535</v>
      </c>
    </row>
    <row r="949" spans="1:5" hidden="1">
      <c r="A949" s="33" t="e">
        <f>COUNTIF([1]Regions!$D$3:$D$30,BillionEURNEWAGE!$B949)&gt;0</f>
        <v>#VALUE!</v>
      </c>
      <c r="B949" s="33" t="s">
        <v>2240</v>
      </c>
      <c r="C949" s="33" t="s">
        <v>2254</v>
      </c>
      <c r="D949" s="33" t="s">
        <v>401</v>
      </c>
      <c r="E949" s="34">
        <v>1.9361039668790501E-6</v>
      </c>
    </row>
    <row r="950" spans="1:5" hidden="1">
      <c r="A950" s="33" t="e">
        <f>COUNTIF([1]Regions!$D$3:$D$30,BillionEURNEWAGE!$B950)&gt;0</f>
        <v>#VALUE!</v>
      </c>
      <c r="B950" s="33" t="s">
        <v>2240</v>
      </c>
      <c r="C950" s="33" t="s">
        <v>2254</v>
      </c>
      <c r="D950" s="33" t="s">
        <v>404</v>
      </c>
      <c r="E950" s="34">
        <v>1.4064571650817501E-5</v>
      </c>
    </row>
    <row r="951" spans="1:5" hidden="1">
      <c r="A951" s="33" t="e">
        <f>COUNTIF([1]Regions!$D$3:$D$30,BillionEURNEWAGE!$B951)&gt;0</f>
        <v>#VALUE!</v>
      </c>
      <c r="B951" s="33" t="s">
        <v>2240</v>
      </c>
      <c r="C951" s="33" t="s">
        <v>2254</v>
      </c>
      <c r="D951" s="33" t="s">
        <v>410</v>
      </c>
      <c r="E951" s="34">
        <v>8.5826969964505594E-6</v>
      </c>
    </row>
    <row r="952" spans="1:5" hidden="1">
      <c r="A952" s="33" t="e">
        <f>COUNTIF([1]Regions!$D$3:$D$30,BillionEURNEWAGE!$B952)&gt;0</f>
        <v>#VALUE!</v>
      </c>
      <c r="B952" s="33" t="s">
        <v>2240</v>
      </c>
      <c r="C952" s="33" t="s">
        <v>2254</v>
      </c>
      <c r="D952" s="33" t="s">
        <v>416</v>
      </c>
      <c r="E952" s="33">
        <v>1.9734002140250499E-2</v>
      </c>
    </row>
    <row r="953" spans="1:5" hidden="1">
      <c r="A953" s="33" t="e">
        <f>COUNTIF([1]Regions!$D$3:$D$30,BillionEURNEWAGE!$B953)&gt;0</f>
        <v>#VALUE!</v>
      </c>
      <c r="B953" s="33" t="s">
        <v>2240</v>
      </c>
      <c r="C953" s="33" t="s">
        <v>2254</v>
      </c>
      <c r="D953" s="33" t="s">
        <v>420</v>
      </c>
      <c r="E953" s="33">
        <v>1.9829072230993401E-3</v>
      </c>
    </row>
    <row r="954" spans="1:5" hidden="1">
      <c r="A954" s="33" t="e">
        <f>COUNTIF([1]Regions!$D$3:$D$30,BillionEURNEWAGE!$B954)&gt;0</f>
        <v>#VALUE!</v>
      </c>
      <c r="B954" s="33" t="s">
        <v>2240</v>
      </c>
      <c r="C954" s="33" t="s">
        <v>2254</v>
      </c>
      <c r="D954" s="33" t="s">
        <v>421</v>
      </c>
      <c r="E954" s="33">
        <v>5.1469922267881199E-4</v>
      </c>
    </row>
    <row r="955" spans="1:5" hidden="1">
      <c r="A955" s="33" t="e">
        <f>COUNTIF([1]Regions!$D$3:$D$30,BillionEURNEWAGE!$B955)&gt;0</f>
        <v>#VALUE!</v>
      </c>
      <c r="B955" s="33" t="s">
        <v>2240</v>
      </c>
      <c r="C955" s="33" t="s">
        <v>2254</v>
      </c>
      <c r="D955" s="33" t="s">
        <v>423</v>
      </c>
      <c r="E955" s="33">
        <v>4.1992896203239599E-3</v>
      </c>
    </row>
    <row r="956" spans="1:5" hidden="1">
      <c r="A956" s="33" t="e">
        <f>COUNTIF([1]Regions!$D$3:$D$30,BillionEURNEWAGE!$B956)&gt;0</f>
        <v>#VALUE!</v>
      </c>
      <c r="B956" s="33" t="s">
        <v>2240</v>
      </c>
      <c r="C956" s="33" t="s">
        <v>2254</v>
      </c>
      <c r="D956" s="33" t="s">
        <v>427</v>
      </c>
      <c r="E956" s="33">
        <v>1.98973418920644E-2</v>
      </c>
    </row>
    <row r="957" spans="1:5" hidden="1">
      <c r="A957" s="33" t="e">
        <f>COUNTIF([1]Regions!$D$3:$D$30,BillionEURNEWAGE!$B957)&gt;0</f>
        <v>#VALUE!</v>
      </c>
      <c r="B957" s="33" t="s">
        <v>2240</v>
      </c>
      <c r="C957" s="33" t="s">
        <v>2254</v>
      </c>
      <c r="D957" s="33" t="s">
        <v>429</v>
      </c>
      <c r="E957" s="34">
        <v>2.8853061606821501E-5</v>
      </c>
    </row>
    <row r="958" spans="1:5" hidden="1">
      <c r="A958" s="33" t="e">
        <f>COUNTIF([1]Regions!$D$3:$D$30,BillionEURNEWAGE!$B958)&gt;0</f>
        <v>#VALUE!</v>
      </c>
      <c r="B958" s="33" t="s">
        <v>2240</v>
      </c>
      <c r="C958" s="33" t="s">
        <v>2254</v>
      </c>
      <c r="D958" s="33" t="s">
        <v>430</v>
      </c>
      <c r="E958" s="33">
        <v>0.650241218464643</v>
      </c>
    </row>
    <row r="959" spans="1:5" hidden="1">
      <c r="A959" s="33" t="e">
        <f>COUNTIF([1]Regions!$D$3:$D$30,BillionEURNEWAGE!$B959)&gt;0</f>
        <v>#VALUE!</v>
      </c>
      <c r="B959" s="33" t="s">
        <v>2241</v>
      </c>
      <c r="C959" s="33" t="s">
        <v>2254</v>
      </c>
      <c r="D959" s="33" t="s">
        <v>401</v>
      </c>
      <c r="E959" s="34">
        <v>5.8540590417466599E-6</v>
      </c>
    </row>
    <row r="960" spans="1:5" hidden="1">
      <c r="A960" s="33" t="e">
        <f>COUNTIF([1]Regions!$D$3:$D$30,BillionEURNEWAGE!$B960)&gt;0</f>
        <v>#VALUE!</v>
      </c>
      <c r="B960" s="33" t="s">
        <v>2241</v>
      </c>
      <c r="C960" s="33" t="s">
        <v>2254</v>
      </c>
      <c r="D960" s="33" t="s">
        <v>404</v>
      </c>
      <c r="E960" s="34">
        <v>4.4736960601760997E-5</v>
      </c>
    </row>
    <row r="961" spans="1:5" hidden="1">
      <c r="A961" s="33" t="e">
        <f>COUNTIF([1]Regions!$D$3:$D$30,BillionEURNEWAGE!$B961)&gt;0</f>
        <v>#VALUE!</v>
      </c>
      <c r="B961" s="33" t="s">
        <v>2241</v>
      </c>
      <c r="C961" s="33" t="s">
        <v>2254</v>
      </c>
      <c r="D961" s="33" t="s">
        <v>406</v>
      </c>
      <c r="E961" s="34">
        <v>1.2195889335027599E-6</v>
      </c>
    </row>
    <row r="962" spans="1:5" hidden="1">
      <c r="A962" s="33" t="e">
        <f>COUNTIF([1]Regions!$D$3:$D$30,BillionEURNEWAGE!$B962)&gt;0</f>
        <v>#VALUE!</v>
      </c>
      <c r="B962" s="33" t="s">
        <v>2241</v>
      </c>
      <c r="C962" s="33" t="s">
        <v>2254</v>
      </c>
      <c r="D962" s="33" t="s">
        <v>410</v>
      </c>
      <c r="E962" s="34">
        <v>2.2524755990901299E-5</v>
      </c>
    </row>
    <row r="963" spans="1:5" hidden="1">
      <c r="A963" s="33" t="e">
        <f>COUNTIF([1]Regions!$D$3:$D$30,BillionEURNEWAGE!$B963)&gt;0</f>
        <v>#VALUE!</v>
      </c>
      <c r="B963" s="33" t="s">
        <v>2241</v>
      </c>
      <c r="C963" s="33" t="s">
        <v>2254</v>
      </c>
      <c r="D963" s="33" t="s">
        <v>416</v>
      </c>
      <c r="E963" s="33">
        <v>5.2990971501202599</v>
      </c>
    </row>
    <row r="964" spans="1:5" hidden="1">
      <c r="A964" s="33" t="e">
        <f>COUNTIF([1]Regions!$D$3:$D$30,BillionEURNEWAGE!$B964)&gt;0</f>
        <v>#VALUE!</v>
      </c>
      <c r="B964" s="33" t="s">
        <v>2241</v>
      </c>
      <c r="C964" s="33" t="s">
        <v>2254</v>
      </c>
      <c r="D964" s="33" t="s">
        <v>420</v>
      </c>
      <c r="E964" s="33">
        <v>6.04752842389046E-3</v>
      </c>
    </row>
    <row r="965" spans="1:5" hidden="1">
      <c r="A965" s="33" t="e">
        <f>COUNTIF([1]Regions!$D$3:$D$30,BillionEURNEWAGE!$B965)&gt;0</f>
        <v>#VALUE!</v>
      </c>
      <c r="B965" s="33" t="s">
        <v>2241</v>
      </c>
      <c r="C965" s="33" t="s">
        <v>2254</v>
      </c>
      <c r="D965" s="33" t="s">
        <v>421</v>
      </c>
      <c r="E965" s="33">
        <v>2.92230003082594E-3</v>
      </c>
    </row>
    <row r="966" spans="1:5" hidden="1">
      <c r="A966" s="33" t="e">
        <f>COUNTIF([1]Regions!$D$3:$D$30,BillionEURNEWAGE!$B966)&gt;0</f>
        <v>#VALUE!</v>
      </c>
      <c r="B966" s="33" t="s">
        <v>2241</v>
      </c>
      <c r="C966" s="33" t="s">
        <v>2254</v>
      </c>
      <c r="D966" s="33" t="s">
        <v>423</v>
      </c>
      <c r="E966" s="33">
        <v>8.3658302071994498E-3</v>
      </c>
    </row>
    <row r="967" spans="1:5" hidden="1">
      <c r="A967" s="33" t="e">
        <f>COUNTIF([1]Regions!$D$3:$D$30,BillionEURNEWAGE!$B967)&gt;0</f>
        <v>#VALUE!</v>
      </c>
      <c r="B967" s="33" t="s">
        <v>2241</v>
      </c>
      <c r="C967" s="33" t="s">
        <v>2254</v>
      </c>
      <c r="D967" s="33" t="s">
        <v>425</v>
      </c>
      <c r="E967" s="34">
        <v>5.8105651585068797E-6</v>
      </c>
    </row>
    <row r="968" spans="1:5" hidden="1">
      <c r="A968" s="33" t="e">
        <f>COUNTIF([1]Regions!$D$3:$D$30,BillionEURNEWAGE!$B968)&gt;0</f>
        <v>#VALUE!</v>
      </c>
      <c r="B968" s="33" t="s">
        <v>2241</v>
      </c>
      <c r="C968" s="33" t="s">
        <v>2254</v>
      </c>
      <c r="D968" s="33" t="s">
        <v>427</v>
      </c>
      <c r="E968" s="33">
        <v>7.2793446149633706E-2</v>
      </c>
    </row>
    <row r="969" spans="1:5" hidden="1">
      <c r="A969" s="33" t="e">
        <f>COUNTIF([1]Regions!$D$3:$D$30,BillionEURNEWAGE!$B969)&gt;0</f>
        <v>#VALUE!</v>
      </c>
      <c r="B969" s="33" t="s">
        <v>2241</v>
      </c>
      <c r="C969" s="33" t="s">
        <v>2254</v>
      </c>
      <c r="D969" s="33" t="s">
        <v>429</v>
      </c>
      <c r="E969" s="33">
        <v>3.3072674397353799E-4</v>
      </c>
    </row>
    <row r="970" spans="1:5" hidden="1">
      <c r="A970" s="33" t="e">
        <f>COUNTIF([1]Regions!$D$3:$D$30,BillionEURNEWAGE!$B970)&gt;0</f>
        <v>#VALUE!</v>
      </c>
      <c r="B970" s="33" t="s">
        <v>2241</v>
      </c>
      <c r="C970" s="33" t="s">
        <v>2254</v>
      </c>
      <c r="D970" s="33" t="s">
        <v>430</v>
      </c>
      <c r="E970" s="33">
        <v>2.28373152763014</v>
      </c>
    </row>
    <row r="971" spans="1:5" hidden="1">
      <c r="A971" s="33" t="e">
        <f>COUNTIF([1]Regions!$D$3:$D$30,BillionEURNEWAGE!$B971)&gt;0</f>
        <v>#VALUE!</v>
      </c>
      <c r="B971" s="33" t="s">
        <v>2242</v>
      </c>
      <c r="C971" s="33" t="s">
        <v>2254</v>
      </c>
      <c r="D971" s="33" t="s">
        <v>401</v>
      </c>
      <c r="E971" s="34">
        <v>3.4530954675427802E-6</v>
      </c>
    </row>
    <row r="972" spans="1:5" hidden="1">
      <c r="A972" s="33" t="e">
        <f>COUNTIF([1]Regions!$D$3:$D$30,BillionEURNEWAGE!$B972)&gt;0</f>
        <v>#VALUE!</v>
      </c>
      <c r="B972" s="33" t="s">
        <v>2242</v>
      </c>
      <c r="C972" s="33" t="s">
        <v>2254</v>
      </c>
      <c r="D972" s="33" t="s">
        <v>404</v>
      </c>
      <c r="E972" s="34">
        <v>4.3744724261814002E-5</v>
      </c>
    </row>
    <row r="973" spans="1:5" hidden="1">
      <c r="A973" s="33" t="e">
        <f>COUNTIF([1]Regions!$D$3:$D$30,BillionEURNEWAGE!$B973)&gt;0</f>
        <v>#VALUE!</v>
      </c>
      <c r="B973" s="33" t="s">
        <v>2242</v>
      </c>
      <c r="C973" s="33" t="s">
        <v>2254</v>
      </c>
      <c r="D973" s="33" t="s">
        <v>406</v>
      </c>
      <c r="E973" s="34">
        <v>9.8204000533463904E-7</v>
      </c>
    </row>
    <row r="974" spans="1:5" hidden="1">
      <c r="A974" s="33" t="e">
        <f>COUNTIF([1]Regions!$D$3:$D$30,BillionEURNEWAGE!$B974)&gt;0</f>
        <v>#VALUE!</v>
      </c>
      <c r="B974" s="33" t="s">
        <v>2242</v>
      </c>
      <c r="C974" s="33" t="s">
        <v>2254</v>
      </c>
      <c r="D974" s="33" t="s">
        <v>410</v>
      </c>
      <c r="E974" s="33">
        <v>2.4672354662004799E-2</v>
      </c>
    </row>
    <row r="975" spans="1:5" hidden="1">
      <c r="A975" s="33" t="e">
        <f>COUNTIF([1]Regions!$D$3:$D$30,BillionEURNEWAGE!$B975)&gt;0</f>
        <v>#VALUE!</v>
      </c>
      <c r="B975" s="33" t="s">
        <v>2242</v>
      </c>
      <c r="C975" s="33" t="s">
        <v>2254</v>
      </c>
      <c r="D975" s="33" t="s">
        <v>416</v>
      </c>
      <c r="E975" s="33">
        <v>0.33429948248490399</v>
      </c>
    </row>
    <row r="976" spans="1:5" hidden="1">
      <c r="A976" s="33" t="e">
        <f>COUNTIF([1]Regions!$D$3:$D$30,BillionEURNEWAGE!$B976)&gt;0</f>
        <v>#VALUE!</v>
      </c>
      <c r="B976" s="33" t="s">
        <v>2242</v>
      </c>
      <c r="C976" s="33" t="s">
        <v>2254</v>
      </c>
      <c r="D976" s="33" t="s">
        <v>420</v>
      </c>
      <c r="E976" s="33">
        <v>4.4104744903874699E-2</v>
      </c>
    </row>
    <row r="977" spans="1:5" hidden="1">
      <c r="A977" s="33" t="e">
        <f>COUNTIF([1]Regions!$D$3:$D$30,BillionEURNEWAGE!$B977)&gt;0</f>
        <v>#VALUE!</v>
      </c>
      <c r="B977" s="33" t="s">
        <v>2242</v>
      </c>
      <c r="C977" s="33" t="s">
        <v>2254</v>
      </c>
      <c r="D977" s="33" t="s">
        <v>421</v>
      </c>
      <c r="E977" s="33">
        <v>1.12284173084736E-2</v>
      </c>
    </row>
    <row r="978" spans="1:5" hidden="1">
      <c r="A978" s="33" t="e">
        <f>COUNTIF([1]Regions!$D$3:$D$30,BillionEURNEWAGE!$B978)&gt;0</f>
        <v>#VALUE!</v>
      </c>
      <c r="B978" s="33" t="s">
        <v>2242</v>
      </c>
      <c r="C978" s="33" t="s">
        <v>2254</v>
      </c>
      <c r="D978" s="33" t="s">
        <v>423</v>
      </c>
      <c r="E978" s="33">
        <v>8.8857485873553604E-2</v>
      </c>
    </row>
    <row r="979" spans="1:5" hidden="1">
      <c r="A979" s="33" t="e">
        <f>COUNTIF([1]Regions!$D$3:$D$30,BillionEURNEWAGE!$B979)&gt;0</f>
        <v>#VALUE!</v>
      </c>
      <c r="B979" s="33" t="s">
        <v>2242</v>
      </c>
      <c r="C979" s="33" t="s">
        <v>2254</v>
      </c>
      <c r="D979" s="33" t="s">
        <v>427</v>
      </c>
      <c r="E979" s="33">
        <v>7.5358149485092703E-3</v>
      </c>
    </row>
    <row r="980" spans="1:5" hidden="1">
      <c r="A980" s="33" t="e">
        <f>COUNTIF([1]Regions!$D$3:$D$30,BillionEURNEWAGE!$B980)&gt;0</f>
        <v>#VALUE!</v>
      </c>
      <c r="B980" s="33" t="s">
        <v>2242</v>
      </c>
      <c r="C980" s="33" t="s">
        <v>2254</v>
      </c>
      <c r="D980" s="33" t="s">
        <v>429</v>
      </c>
      <c r="E980" s="33">
        <v>2.36046729840196E-3</v>
      </c>
    </row>
    <row r="981" spans="1:5" hidden="1">
      <c r="A981" s="33" t="e">
        <f>COUNTIF([1]Regions!$D$3:$D$30,BillionEURNEWAGE!$B981)&gt;0</f>
        <v>#VALUE!</v>
      </c>
      <c r="B981" s="33" t="s">
        <v>2242</v>
      </c>
      <c r="C981" s="33" t="s">
        <v>2254</v>
      </c>
      <c r="D981" s="33" t="s">
        <v>430</v>
      </c>
      <c r="E981" s="33">
        <v>1.18552229921699</v>
      </c>
    </row>
    <row r="982" spans="1:5" hidden="1">
      <c r="A982" s="33" t="e">
        <f>COUNTIF([1]Regions!$D$3:$D$30,BillionEURNEWAGE!$B982)&gt;0</f>
        <v>#VALUE!</v>
      </c>
      <c r="B982" s="33" t="s">
        <v>2243</v>
      </c>
      <c r="C982" s="33" t="s">
        <v>2254</v>
      </c>
      <c r="D982" s="33" t="s">
        <v>401</v>
      </c>
      <c r="E982" s="34">
        <v>7.6769617842776394E-6</v>
      </c>
    </row>
    <row r="983" spans="1:5" hidden="1">
      <c r="A983" s="33" t="e">
        <f>COUNTIF([1]Regions!$D$3:$D$30,BillionEURNEWAGE!$B983)&gt;0</f>
        <v>#VALUE!</v>
      </c>
      <c r="B983" s="33" t="s">
        <v>2243</v>
      </c>
      <c r="C983" s="33" t="s">
        <v>2254</v>
      </c>
      <c r="D983" s="33" t="s">
        <v>404</v>
      </c>
      <c r="E983" s="34">
        <v>9.0394122225354297E-5</v>
      </c>
    </row>
    <row r="984" spans="1:5" hidden="1">
      <c r="A984" s="33" t="e">
        <f>COUNTIF([1]Regions!$D$3:$D$30,BillionEURNEWAGE!$B984)&gt;0</f>
        <v>#VALUE!</v>
      </c>
      <c r="B984" s="33" t="s">
        <v>2243</v>
      </c>
      <c r="C984" s="33" t="s">
        <v>2254</v>
      </c>
      <c r="D984" s="33" t="s">
        <v>406</v>
      </c>
      <c r="E984" s="34">
        <v>3.2734158440212302E-6</v>
      </c>
    </row>
    <row r="985" spans="1:5" hidden="1">
      <c r="A985" s="33" t="e">
        <f>COUNTIF([1]Regions!$D$3:$D$30,BillionEURNEWAGE!$B985)&gt;0</f>
        <v>#VALUE!</v>
      </c>
      <c r="B985" s="33" t="s">
        <v>2243</v>
      </c>
      <c r="C985" s="33" t="s">
        <v>2254</v>
      </c>
      <c r="D985" s="33" t="s">
        <v>410</v>
      </c>
      <c r="E985" s="34">
        <v>4.7964837440181E-5</v>
      </c>
    </row>
    <row r="986" spans="1:5" hidden="1">
      <c r="A986" s="33" t="e">
        <f>COUNTIF([1]Regions!$D$3:$D$30,BillionEURNEWAGE!$B986)&gt;0</f>
        <v>#VALUE!</v>
      </c>
      <c r="B986" s="33" t="s">
        <v>2243</v>
      </c>
      <c r="C986" s="33" t="s">
        <v>2254</v>
      </c>
      <c r="D986" s="33" t="s">
        <v>416</v>
      </c>
      <c r="E986" s="33">
        <v>0.12939563823795799</v>
      </c>
    </row>
    <row r="987" spans="1:5" hidden="1">
      <c r="A987" s="33" t="e">
        <f>COUNTIF([1]Regions!$D$3:$D$30,BillionEURNEWAGE!$B987)&gt;0</f>
        <v>#VALUE!</v>
      </c>
      <c r="B987" s="33" t="s">
        <v>2243</v>
      </c>
      <c r="C987" s="33" t="s">
        <v>2254</v>
      </c>
      <c r="D987" s="33" t="s">
        <v>420</v>
      </c>
      <c r="E987" s="33">
        <v>7.7084130786066697E-3</v>
      </c>
    </row>
    <row r="988" spans="1:5" hidden="1">
      <c r="A988" s="33" t="e">
        <f>COUNTIF([1]Regions!$D$3:$D$30,BillionEURNEWAGE!$B988)&gt;0</f>
        <v>#VALUE!</v>
      </c>
      <c r="B988" s="33" t="s">
        <v>2243</v>
      </c>
      <c r="C988" s="33" t="s">
        <v>2254</v>
      </c>
      <c r="D988" s="33" t="s">
        <v>421</v>
      </c>
      <c r="E988" s="33">
        <v>4.0195210573768401E-3</v>
      </c>
    </row>
    <row r="989" spans="1:5" hidden="1">
      <c r="A989" s="33" t="e">
        <f>COUNTIF([1]Regions!$D$3:$D$30,BillionEURNEWAGE!$B989)&gt;0</f>
        <v>#VALUE!</v>
      </c>
      <c r="B989" s="33" t="s">
        <v>2243</v>
      </c>
      <c r="C989" s="33" t="s">
        <v>2254</v>
      </c>
      <c r="D989" s="33" t="s">
        <v>423</v>
      </c>
      <c r="E989" s="33">
        <v>8.7807393324840794E-3</v>
      </c>
    </row>
    <row r="990" spans="1:5" hidden="1">
      <c r="A990" s="33" t="e">
        <f>COUNTIF([1]Regions!$D$3:$D$30,BillionEURNEWAGE!$B990)&gt;0</f>
        <v>#VALUE!</v>
      </c>
      <c r="B990" s="33" t="s">
        <v>2243</v>
      </c>
      <c r="C990" s="33" t="s">
        <v>2254</v>
      </c>
      <c r="D990" s="33" t="s">
        <v>425</v>
      </c>
      <c r="E990" s="34">
        <v>3.2595487135130901E-6</v>
      </c>
    </row>
    <row r="991" spans="1:5" hidden="1">
      <c r="A991" s="33" t="e">
        <f>COUNTIF([1]Regions!$D$3:$D$30,BillionEURNEWAGE!$B991)&gt;0</f>
        <v>#VALUE!</v>
      </c>
      <c r="B991" s="33" t="s">
        <v>2243</v>
      </c>
      <c r="C991" s="33" t="s">
        <v>2254</v>
      </c>
      <c r="D991" s="33" t="s">
        <v>427</v>
      </c>
      <c r="E991" s="33">
        <v>5.5660797826364303E-3</v>
      </c>
    </row>
    <row r="992" spans="1:5" hidden="1">
      <c r="A992" s="33" t="e">
        <f>COUNTIF([1]Regions!$D$3:$D$30,BillionEURNEWAGE!$B992)&gt;0</f>
        <v>#VALUE!</v>
      </c>
      <c r="B992" s="33" t="s">
        <v>2243</v>
      </c>
      <c r="C992" s="33" t="s">
        <v>2254</v>
      </c>
      <c r="D992" s="33" t="s">
        <v>429</v>
      </c>
      <c r="E992" s="33">
        <v>2.1666115704055801E-4</v>
      </c>
    </row>
    <row r="993" spans="1:5" hidden="1">
      <c r="A993" s="33" t="e">
        <f>COUNTIF([1]Regions!$D$3:$D$30,BillionEURNEWAGE!$B993)&gt;0</f>
        <v>#VALUE!</v>
      </c>
      <c r="B993" s="33" t="s">
        <v>2243</v>
      </c>
      <c r="C993" s="33" t="s">
        <v>2254</v>
      </c>
      <c r="D993" s="33" t="s">
        <v>430</v>
      </c>
      <c r="E993" s="33">
        <v>9.5595646914885908</v>
      </c>
    </row>
    <row r="994" spans="1:5" hidden="1">
      <c r="A994" s="33" t="e">
        <f>COUNTIF([1]Regions!$D$3:$D$30,BillionEURNEWAGE!$B994)&gt;0</f>
        <v>#VALUE!</v>
      </c>
      <c r="B994" s="33" t="s">
        <v>2244</v>
      </c>
      <c r="C994" s="33" t="s">
        <v>2254</v>
      </c>
      <c r="D994" s="33" t="s">
        <v>401</v>
      </c>
      <c r="E994" s="34">
        <v>5.8579850876805201E-6</v>
      </c>
    </row>
    <row r="995" spans="1:5" hidden="1">
      <c r="A995" s="33" t="e">
        <f>COUNTIF([1]Regions!$D$3:$D$30,BillionEURNEWAGE!$B995)&gt;0</f>
        <v>#VALUE!</v>
      </c>
      <c r="B995" s="33" t="s">
        <v>2244</v>
      </c>
      <c r="C995" s="33" t="s">
        <v>2254</v>
      </c>
      <c r="D995" s="33" t="s">
        <v>404</v>
      </c>
      <c r="E995" s="34">
        <v>4.0329887121741097E-5</v>
      </c>
    </row>
    <row r="996" spans="1:5" hidden="1">
      <c r="A996" s="33" t="e">
        <f>COUNTIF([1]Regions!$D$3:$D$30,BillionEURNEWAGE!$B996)&gt;0</f>
        <v>#VALUE!</v>
      </c>
      <c r="B996" s="33" t="s">
        <v>2244</v>
      </c>
      <c r="C996" s="33" t="s">
        <v>2254</v>
      </c>
      <c r="D996" s="33" t="s">
        <v>406</v>
      </c>
      <c r="E996" s="34">
        <v>1.0850790907295501E-6</v>
      </c>
    </row>
    <row r="997" spans="1:5" hidden="1">
      <c r="A997" s="33" t="e">
        <f>COUNTIF([1]Regions!$D$3:$D$30,BillionEURNEWAGE!$B997)&gt;0</f>
        <v>#VALUE!</v>
      </c>
      <c r="B997" s="33" t="s">
        <v>2244</v>
      </c>
      <c r="C997" s="33" t="s">
        <v>2254</v>
      </c>
      <c r="D997" s="33" t="s">
        <v>410</v>
      </c>
      <c r="E997" s="34">
        <v>2.5555331552533998E-5</v>
      </c>
    </row>
    <row r="998" spans="1:5" hidden="1">
      <c r="A998" s="33" t="e">
        <f>COUNTIF([1]Regions!$D$3:$D$30,BillionEURNEWAGE!$B998)&gt;0</f>
        <v>#VALUE!</v>
      </c>
      <c r="B998" s="33" t="s">
        <v>2244</v>
      </c>
      <c r="C998" s="33" t="s">
        <v>2254</v>
      </c>
      <c r="D998" s="33" t="s">
        <v>416</v>
      </c>
      <c r="E998" s="33">
        <v>6.4161113629396194E-2</v>
      </c>
    </row>
    <row r="999" spans="1:5" hidden="1">
      <c r="A999" s="33" t="e">
        <f>COUNTIF([1]Regions!$D$3:$D$30,BillionEURNEWAGE!$B999)&gt;0</f>
        <v>#VALUE!</v>
      </c>
      <c r="B999" s="33" t="s">
        <v>2244</v>
      </c>
      <c r="C999" s="33" t="s">
        <v>2254</v>
      </c>
      <c r="D999" s="33" t="s">
        <v>420</v>
      </c>
      <c r="E999" s="33">
        <v>1.0739393673611E-2</v>
      </c>
    </row>
    <row r="1000" spans="1:5" hidden="1">
      <c r="A1000" s="33" t="e">
        <f>COUNTIF([1]Regions!$D$3:$D$30,BillionEURNEWAGE!$B1000)&gt;0</f>
        <v>#VALUE!</v>
      </c>
      <c r="B1000" s="33" t="s">
        <v>2244</v>
      </c>
      <c r="C1000" s="33" t="s">
        <v>2254</v>
      </c>
      <c r="D1000" s="33" t="s">
        <v>421</v>
      </c>
      <c r="E1000" s="33">
        <v>2.6452271346443998E-3</v>
      </c>
    </row>
    <row r="1001" spans="1:5" hidden="1">
      <c r="A1001" s="33" t="e">
        <f>COUNTIF([1]Regions!$D$3:$D$30,BillionEURNEWAGE!$B1001)&gt;0</f>
        <v>#VALUE!</v>
      </c>
      <c r="B1001" s="33" t="s">
        <v>2244</v>
      </c>
      <c r="C1001" s="33" t="s">
        <v>2254</v>
      </c>
      <c r="D1001" s="33" t="s">
        <v>423</v>
      </c>
      <c r="E1001" s="33">
        <v>4.4949110412410304E-3</v>
      </c>
    </row>
    <row r="1002" spans="1:5" hidden="1">
      <c r="A1002" s="33" t="e">
        <f>COUNTIF([1]Regions!$D$3:$D$30,BillionEURNEWAGE!$B1002)&gt;0</f>
        <v>#VALUE!</v>
      </c>
      <c r="B1002" s="33" t="s">
        <v>2244</v>
      </c>
      <c r="C1002" s="33" t="s">
        <v>2254</v>
      </c>
      <c r="D1002" s="33" t="s">
        <v>425</v>
      </c>
      <c r="E1002" s="34">
        <v>3.1575587786324001E-6</v>
      </c>
    </row>
    <row r="1003" spans="1:5" hidden="1">
      <c r="A1003" s="33" t="e">
        <f>COUNTIF([1]Regions!$D$3:$D$30,BillionEURNEWAGE!$B1003)&gt;0</f>
        <v>#VALUE!</v>
      </c>
      <c r="B1003" s="33" t="s">
        <v>2244</v>
      </c>
      <c r="C1003" s="33" t="s">
        <v>2254</v>
      </c>
      <c r="D1003" s="33" t="s">
        <v>427</v>
      </c>
      <c r="E1003" s="33">
        <v>0.11790337552302101</v>
      </c>
    </row>
    <row r="1004" spans="1:5" hidden="1">
      <c r="A1004" s="33" t="e">
        <f>COUNTIF([1]Regions!$D$3:$D$30,BillionEURNEWAGE!$B1004)&gt;0</f>
        <v>#VALUE!</v>
      </c>
      <c r="B1004" s="33" t="s">
        <v>2244</v>
      </c>
      <c r="C1004" s="33" t="s">
        <v>2254</v>
      </c>
      <c r="D1004" s="33" t="s">
        <v>429</v>
      </c>
      <c r="E1004" s="33">
        <v>4.3445457500704802E-4</v>
      </c>
    </row>
    <row r="1005" spans="1:5" hidden="1">
      <c r="A1005" s="33" t="e">
        <f>COUNTIF([1]Regions!$D$3:$D$30,BillionEURNEWAGE!$B1005)&gt;0</f>
        <v>#VALUE!</v>
      </c>
      <c r="B1005" s="33" t="s">
        <v>2244</v>
      </c>
      <c r="C1005" s="33" t="s">
        <v>2254</v>
      </c>
      <c r="D1005" s="33" t="s">
        <v>430</v>
      </c>
      <c r="E1005" s="33">
        <v>4.3150112108077696</v>
      </c>
    </row>
    <row r="1006" spans="1:5" hidden="1">
      <c r="A1006" s="33" t="e">
        <f>COUNTIF([1]Regions!$D$3:$D$30,BillionEURNEWAGE!$B1006)&gt;0</f>
        <v>#VALUE!</v>
      </c>
      <c r="B1006" s="33" t="s">
        <v>2245</v>
      </c>
      <c r="C1006" s="33" t="s">
        <v>2254</v>
      </c>
      <c r="D1006" s="33" t="s">
        <v>401</v>
      </c>
      <c r="E1006" s="34">
        <v>5.53413769916371E-6</v>
      </c>
    </row>
    <row r="1007" spans="1:5" hidden="1">
      <c r="A1007" s="33" t="e">
        <f>COUNTIF([1]Regions!$D$3:$D$30,BillionEURNEWAGE!$B1007)&gt;0</f>
        <v>#VALUE!</v>
      </c>
      <c r="B1007" s="33" t="s">
        <v>2245</v>
      </c>
      <c r="C1007" s="33" t="s">
        <v>2254</v>
      </c>
      <c r="D1007" s="33" t="s">
        <v>402</v>
      </c>
      <c r="E1007" s="34">
        <v>8.7593760506697499E-7</v>
      </c>
    </row>
    <row r="1008" spans="1:5" hidden="1">
      <c r="A1008" s="33" t="e">
        <f>COUNTIF([1]Regions!$D$3:$D$30,BillionEURNEWAGE!$B1008)&gt;0</f>
        <v>#VALUE!</v>
      </c>
      <c r="B1008" s="33" t="s">
        <v>2245</v>
      </c>
      <c r="C1008" s="33" t="s">
        <v>2254</v>
      </c>
      <c r="D1008" s="33" t="s">
        <v>404</v>
      </c>
      <c r="E1008" s="34">
        <v>5.1444173453395999E-5</v>
      </c>
    </row>
    <row r="1009" spans="1:5" hidden="1">
      <c r="A1009" s="33" t="e">
        <f>COUNTIF([1]Regions!$D$3:$D$30,BillionEURNEWAGE!$B1009)&gt;0</f>
        <v>#VALUE!</v>
      </c>
      <c r="B1009" s="33" t="s">
        <v>2245</v>
      </c>
      <c r="C1009" s="33" t="s">
        <v>2254</v>
      </c>
      <c r="D1009" s="33" t="s">
        <v>406</v>
      </c>
      <c r="E1009" s="34">
        <v>6.6349803936493796E-7</v>
      </c>
    </row>
    <row r="1010" spans="1:5" hidden="1">
      <c r="A1010" s="33" t="e">
        <f>COUNTIF([1]Regions!$D$3:$D$30,BillionEURNEWAGE!$B1010)&gt;0</f>
        <v>#VALUE!</v>
      </c>
      <c r="B1010" s="33" t="s">
        <v>2245</v>
      </c>
      <c r="C1010" s="33" t="s">
        <v>2254</v>
      </c>
      <c r="D1010" s="33" t="s">
        <v>410</v>
      </c>
      <c r="E1010" s="34">
        <v>3.1285132581601299E-5</v>
      </c>
    </row>
    <row r="1011" spans="1:5" hidden="1">
      <c r="A1011" s="33" t="e">
        <f>COUNTIF([1]Regions!$D$3:$D$30,BillionEURNEWAGE!$B1011)&gt;0</f>
        <v>#VALUE!</v>
      </c>
      <c r="B1011" s="33" t="s">
        <v>2245</v>
      </c>
      <c r="C1011" s="33" t="s">
        <v>2254</v>
      </c>
      <c r="D1011" s="33" t="s">
        <v>411</v>
      </c>
      <c r="E1011" s="34">
        <v>5.1598636084380203E-7</v>
      </c>
    </row>
    <row r="1012" spans="1:5" hidden="1">
      <c r="A1012" s="33" t="e">
        <f>COUNTIF([1]Regions!$D$3:$D$30,BillionEURNEWAGE!$B1012)&gt;0</f>
        <v>#VALUE!</v>
      </c>
      <c r="B1012" s="33" t="s">
        <v>2245</v>
      </c>
      <c r="C1012" s="33" t="s">
        <v>2254</v>
      </c>
      <c r="D1012" s="33" t="s">
        <v>416</v>
      </c>
      <c r="E1012" s="33">
        <v>0.15717112300664901</v>
      </c>
    </row>
    <row r="1013" spans="1:5" hidden="1">
      <c r="A1013" s="33" t="e">
        <f>COUNTIF([1]Regions!$D$3:$D$30,BillionEURNEWAGE!$B1013)&gt;0</f>
        <v>#VALUE!</v>
      </c>
      <c r="B1013" s="33" t="s">
        <v>2245</v>
      </c>
      <c r="C1013" s="33" t="s">
        <v>2254</v>
      </c>
      <c r="D1013" s="33" t="s">
        <v>420</v>
      </c>
      <c r="E1013" s="33">
        <v>8.4114020857118301E-3</v>
      </c>
    </row>
    <row r="1014" spans="1:5" hidden="1">
      <c r="A1014" s="33" t="e">
        <f>COUNTIF([1]Regions!$D$3:$D$30,BillionEURNEWAGE!$B1014)&gt;0</f>
        <v>#VALUE!</v>
      </c>
      <c r="B1014" s="33" t="s">
        <v>2245</v>
      </c>
      <c r="C1014" s="33" t="s">
        <v>2254</v>
      </c>
      <c r="D1014" s="33" t="s">
        <v>421</v>
      </c>
      <c r="E1014" s="33">
        <v>5.3552676458075398E-3</v>
      </c>
    </row>
    <row r="1015" spans="1:5" hidden="1">
      <c r="A1015" s="33" t="e">
        <f>COUNTIF([1]Regions!$D$3:$D$30,BillionEURNEWAGE!$B1015)&gt;0</f>
        <v>#VALUE!</v>
      </c>
      <c r="B1015" s="33" t="s">
        <v>2245</v>
      </c>
      <c r="C1015" s="33" t="s">
        <v>2254</v>
      </c>
      <c r="D1015" s="33" t="s">
        <v>423</v>
      </c>
      <c r="E1015" s="33">
        <v>6.1133421573595602E-3</v>
      </c>
    </row>
    <row r="1016" spans="1:5" hidden="1">
      <c r="A1016" s="33" t="e">
        <f>COUNTIF([1]Regions!$D$3:$D$30,BillionEURNEWAGE!$B1016)&gt;0</f>
        <v>#VALUE!</v>
      </c>
      <c r="B1016" s="33" t="s">
        <v>2245</v>
      </c>
      <c r="C1016" s="33" t="s">
        <v>2254</v>
      </c>
      <c r="D1016" s="33" t="s">
        <v>425</v>
      </c>
      <c r="E1016" s="34">
        <v>3.7468247810849302E-5</v>
      </c>
    </row>
    <row r="1017" spans="1:5" hidden="1">
      <c r="A1017" s="33" t="e">
        <f>COUNTIF([1]Regions!$D$3:$D$30,BillionEURNEWAGE!$B1017)&gt;0</f>
        <v>#VALUE!</v>
      </c>
      <c r="B1017" s="33" t="s">
        <v>2245</v>
      </c>
      <c r="C1017" s="33" t="s">
        <v>2254</v>
      </c>
      <c r="D1017" s="33" t="s">
        <v>427</v>
      </c>
      <c r="E1017" s="33">
        <v>0.69550768547660502</v>
      </c>
    </row>
    <row r="1018" spans="1:5" hidden="1">
      <c r="A1018" s="33" t="e">
        <f>COUNTIF([1]Regions!$D$3:$D$30,BillionEURNEWAGE!$B1018)&gt;0</f>
        <v>#VALUE!</v>
      </c>
      <c r="B1018" s="33" t="s">
        <v>2245</v>
      </c>
      <c r="C1018" s="33" t="s">
        <v>2254</v>
      </c>
      <c r="D1018" s="33" t="s">
        <v>429</v>
      </c>
      <c r="E1018" s="33">
        <v>8.7766797727596907E-2</v>
      </c>
    </row>
    <row r="1019" spans="1:5" hidden="1">
      <c r="A1019" s="33" t="e">
        <f>COUNTIF([1]Regions!$D$3:$D$30,BillionEURNEWAGE!$B1019)&gt;0</f>
        <v>#VALUE!</v>
      </c>
      <c r="B1019" s="33" t="s">
        <v>2245</v>
      </c>
      <c r="C1019" s="33" t="s">
        <v>2254</v>
      </c>
      <c r="D1019" s="33" t="s">
        <v>430</v>
      </c>
      <c r="E1019" s="33">
        <v>5.0137800500390801</v>
      </c>
    </row>
    <row r="1020" spans="1:5" hidden="1">
      <c r="A1020" s="33" t="e">
        <f>COUNTIF([1]Regions!$D$3:$D$30,BillionEURNEWAGE!$B1020)&gt;0</f>
        <v>#VALUE!</v>
      </c>
      <c r="B1020" s="33" t="s">
        <v>2246</v>
      </c>
      <c r="C1020" s="33" t="s">
        <v>2254</v>
      </c>
      <c r="D1020" s="33" t="s">
        <v>401</v>
      </c>
      <c r="E1020" s="34">
        <v>4.1344107347338498E-6</v>
      </c>
    </row>
    <row r="1021" spans="1:5" hidden="1">
      <c r="A1021" s="33" t="e">
        <f>COUNTIF([1]Regions!$D$3:$D$30,BillionEURNEWAGE!$B1021)&gt;0</f>
        <v>#VALUE!</v>
      </c>
      <c r="B1021" s="33" t="s">
        <v>2246</v>
      </c>
      <c r="C1021" s="33" t="s">
        <v>2254</v>
      </c>
      <c r="D1021" s="33" t="s">
        <v>402</v>
      </c>
      <c r="E1021" s="34">
        <v>7.0331568936712404E-7</v>
      </c>
    </row>
    <row r="1022" spans="1:5" hidden="1">
      <c r="A1022" s="33" t="e">
        <f>COUNTIF([1]Regions!$D$3:$D$30,BillionEURNEWAGE!$B1022)&gt;0</f>
        <v>#VALUE!</v>
      </c>
      <c r="B1022" s="33" t="s">
        <v>2246</v>
      </c>
      <c r="C1022" s="33" t="s">
        <v>2254</v>
      </c>
      <c r="D1022" s="33" t="s">
        <v>404</v>
      </c>
      <c r="E1022" s="33">
        <v>1.0738873011788399E-4</v>
      </c>
    </row>
    <row r="1023" spans="1:5" hidden="1">
      <c r="A1023" s="33" t="e">
        <f>COUNTIF([1]Regions!$D$3:$D$30,BillionEURNEWAGE!$B1023)&gt;0</f>
        <v>#VALUE!</v>
      </c>
      <c r="B1023" s="33" t="s">
        <v>2246</v>
      </c>
      <c r="C1023" s="33" t="s">
        <v>2254</v>
      </c>
      <c r="D1023" s="33" t="s">
        <v>406</v>
      </c>
      <c r="E1023" s="33">
        <v>9.2096333143162901E-4</v>
      </c>
    </row>
    <row r="1024" spans="1:5" hidden="1">
      <c r="A1024" s="33" t="e">
        <f>COUNTIF([1]Regions!$D$3:$D$30,BillionEURNEWAGE!$B1024)&gt;0</f>
        <v>#VALUE!</v>
      </c>
      <c r="B1024" s="33" t="s">
        <v>2246</v>
      </c>
      <c r="C1024" s="33" t="s">
        <v>2254</v>
      </c>
      <c r="D1024" s="33" t="s">
        <v>408</v>
      </c>
      <c r="E1024" s="34">
        <v>1.8896729459282099E-6</v>
      </c>
    </row>
    <row r="1025" spans="1:5" hidden="1">
      <c r="A1025" s="33" t="e">
        <f>COUNTIF([1]Regions!$D$3:$D$30,BillionEURNEWAGE!$B1025)&gt;0</f>
        <v>#VALUE!</v>
      </c>
      <c r="B1025" s="33" t="s">
        <v>2246</v>
      </c>
      <c r="C1025" s="33" t="s">
        <v>2254</v>
      </c>
      <c r="D1025" s="33" t="s">
        <v>410</v>
      </c>
      <c r="E1025" s="33">
        <v>2.9552481204068499E-4</v>
      </c>
    </row>
    <row r="1026" spans="1:5" hidden="1">
      <c r="A1026" s="33" t="e">
        <f>COUNTIF([1]Regions!$D$3:$D$30,BillionEURNEWAGE!$B1026)&gt;0</f>
        <v>#VALUE!</v>
      </c>
      <c r="B1026" s="33" t="s">
        <v>2246</v>
      </c>
      <c r="C1026" s="33" t="s">
        <v>2254</v>
      </c>
      <c r="D1026" s="33" t="s">
        <v>416</v>
      </c>
      <c r="E1026" s="33">
        <v>5.8445442159934601E-2</v>
      </c>
    </row>
    <row r="1027" spans="1:5" hidden="1">
      <c r="A1027" s="33" t="e">
        <f>COUNTIF([1]Regions!$D$3:$D$30,BillionEURNEWAGE!$B1027)&gt;0</f>
        <v>#VALUE!</v>
      </c>
      <c r="B1027" s="33" t="s">
        <v>2246</v>
      </c>
      <c r="C1027" s="33" t="s">
        <v>2254</v>
      </c>
      <c r="D1027" s="33" t="s">
        <v>418</v>
      </c>
      <c r="E1027" s="34">
        <v>3.8079563220304402E-6</v>
      </c>
    </row>
    <row r="1028" spans="1:5" hidden="1">
      <c r="A1028" s="33" t="e">
        <f>COUNTIF([1]Regions!$D$3:$D$30,BillionEURNEWAGE!$B1028)&gt;0</f>
        <v>#VALUE!</v>
      </c>
      <c r="B1028" s="33" t="s">
        <v>2246</v>
      </c>
      <c r="C1028" s="33" t="s">
        <v>2254</v>
      </c>
      <c r="D1028" s="33" t="s">
        <v>420</v>
      </c>
      <c r="E1028" s="33">
        <v>0.22495771302793299</v>
      </c>
    </row>
    <row r="1029" spans="1:5" hidden="1">
      <c r="A1029" s="33" t="e">
        <f>COUNTIF([1]Regions!$D$3:$D$30,BillionEURNEWAGE!$B1029)&gt;0</f>
        <v>#VALUE!</v>
      </c>
      <c r="B1029" s="33" t="s">
        <v>2246</v>
      </c>
      <c r="C1029" s="33" t="s">
        <v>2254</v>
      </c>
      <c r="D1029" s="33" t="s">
        <v>421</v>
      </c>
      <c r="E1029" s="33">
        <v>1.09060112376521E-2</v>
      </c>
    </row>
    <row r="1030" spans="1:5" hidden="1">
      <c r="A1030" s="33" t="e">
        <f>COUNTIF([1]Regions!$D$3:$D$30,BillionEURNEWAGE!$B1030)&gt;0</f>
        <v>#VALUE!</v>
      </c>
      <c r="B1030" s="33" t="s">
        <v>2246</v>
      </c>
      <c r="C1030" s="33" t="s">
        <v>2254</v>
      </c>
      <c r="D1030" s="33" t="s">
        <v>423</v>
      </c>
      <c r="E1030" s="33">
        <v>7.5468181291904503E-3</v>
      </c>
    </row>
    <row r="1031" spans="1:5" hidden="1">
      <c r="A1031" s="33" t="e">
        <f>COUNTIF([1]Regions!$D$3:$D$30,BillionEURNEWAGE!$B1031)&gt;0</f>
        <v>#VALUE!</v>
      </c>
      <c r="B1031" s="33" t="s">
        <v>2246</v>
      </c>
      <c r="C1031" s="33" t="s">
        <v>2254</v>
      </c>
      <c r="D1031" s="33" t="s">
        <v>425</v>
      </c>
      <c r="E1031" s="34">
        <v>4.9529074423697097E-5</v>
      </c>
    </row>
    <row r="1032" spans="1:5" hidden="1">
      <c r="A1032" s="33" t="e">
        <f>COUNTIF([1]Regions!$D$3:$D$30,BillionEURNEWAGE!$B1032)&gt;0</f>
        <v>#VALUE!</v>
      </c>
      <c r="B1032" s="33" t="s">
        <v>2246</v>
      </c>
      <c r="C1032" s="33" t="s">
        <v>2254</v>
      </c>
      <c r="D1032" s="33" t="s">
        <v>427</v>
      </c>
      <c r="E1032" s="33">
        <v>0.463445280387069</v>
      </c>
    </row>
    <row r="1033" spans="1:5" hidden="1">
      <c r="A1033" s="33" t="e">
        <f>COUNTIF([1]Regions!$D$3:$D$30,BillionEURNEWAGE!$B1033)&gt;0</f>
        <v>#VALUE!</v>
      </c>
      <c r="B1033" s="33" t="s">
        <v>2246</v>
      </c>
      <c r="C1033" s="33" t="s">
        <v>2254</v>
      </c>
      <c r="D1033" s="33" t="s">
        <v>429</v>
      </c>
      <c r="E1033" s="33">
        <v>1.14107317073964E-2</v>
      </c>
    </row>
    <row r="1034" spans="1:5" hidden="1">
      <c r="A1034" s="33" t="e">
        <f>COUNTIF([1]Regions!$D$3:$D$30,BillionEURNEWAGE!$B1034)&gt;0</f>
        <v>#VALUE!</v>
      </c>
      <c r="B1034" s="33" t="s">
        <v>2246</v>
      </c>
      <c r="C1034" s="33" t="s">
        <v>2254</v>
      </c>
      <c r="D1034" s="33" t="s">
        <v>430</v>
      </c>
      <c r="E1034" s="33">
        <v>2.85300464835609</v>
      </c>
    </row>
    <row r="1035" spans="1:5" hidden="1">
      <c r="A1035" s="33" t="e">
        <f>COUNTIF([1]Regions!$D$3:$D$30,BillionEURNEWAGE!$B1035)&gt;0</f>
        <v>#VALUE!</v>
      </c>
      <c r="B1035" s="33" t="s">
        <v>2247</v>
      </c>
      <c r="C1035" s="33" t="s">
        <v>2254</v>
      </c>
      <c r="D1035" s="33" t="s">
        <v>401</v>
      </c>
      <c r="E1035" s="34">
        <v>3.28915211125708E-5</v>
      </c>
    </row>
    <row r="1036" spans="1:5" hidden="1">
      <c r="A1036" s="33" t="e">
        <f>COUNTIF([1]Regions!$D$3:$D$30,BillionEURNEWAGE!$B1036)&gt;0</f>
        <v>#VALUE!</v>
      </c>
      <c r="B1036" s="33" t="s">
        <v>2247</v>
      </c>
      <c r="C1036" s="33" t="s">
        <v>2254</v>
      </c>
      <c r="D1036" s="33" t="s">
        <v>404</v>
      </c>
      <c r="E1036" s="33">
        <v>9.7317070271969296E-4</v>
      </c>
    </row>
    <row r="1037" spans="1:5" hidden="1">
      <c r="A1037" s="33" t="e">
        <f>COUNTIF([1]Regions!$D$3:$D$30,BillionEURNEWAGE!$B1037)&gt;0</f>
        <v>#VALUE!</v>
      </c>
      <c r="B1037" s="33" t="s">
        <v>2247</v>
      </c>
      <c r="C1037" s="33" t="s">
        <v>2254</v>
      </c>
      <c r="D1037" s="33" t="s">
        <v>406</v>
      </c>
      <c r="E1037" s="34">
        <v>1.0719972985948899E-5</v>
      </c>
    </row>
    <row r="1038" spans="1:5" hidden="1">
      <c r="A1038" s="33" t="e">
        <f>COUNTIF([1]Regions!$D$3:$D$30,BillionEURNEWAGE!$B1038)&gt;0</f>
        <v>#VALUE!</v>
      </c>
      <c r="B1038" s="33" t="s">
        <v>2247</v>
      </c>
      <c r="C1038" s="33" t="s">
        <v>2254</v>
      </c>
      <c r="D1038" s="33" t="s">
        <v>410</v>
      </c>
      <c r="E1038" s="33">
        <v>1.2005837981285199E-4</v>
      </c>
    </row>
    <row r="1039" spans="1:5" hidden="1">
      <c r="A1039" s="33" t="e">
        <f>COUNTIF([1]Regions!$D$3:$D$30,BillionEURNEWAGE!$B1039)&gt;0</f>
        <v>#VALUE!</v>
      </c>
      <c r="B1039" s="33" t="s">
        <v>2247</v>
      </c>
      <c r="C1039" s="33" t="s">
        <v>2254</v>
      </c>
      <c r="D1039" s="33" t="s">
        <v>416</v>
      </c>
      <c r="E1039" s="33">
        <v>0.92142436342604805</v>
      </c>
    </row>
    <row r="1040" spans="1:5" hidden="1">
      <c r="A1040" s="33" t="e">
        <f>COUNTIF([1]Regions!$D$3:$D$30,BillionEURNEWAGE!$B1040)&gt;0</f>
        <v>#VALUE!</v>
      </c>
      <c r="B1040" s="33" t="s">
        <v>2247</v>
      </c>
      <c r="C1040" s="33" t="s">
        <v>2254</v>
      </c>
      <c r="D1040" s="33" t="s">
        <v>420</v>
      </c>
      <c r="E1040" s="33">
        <v>0.297965298597344</v>
      </c>
    </row>
    <row r="1041" spans="1:5" hidden="1">
      <c r="A1041" s="33" t="e">
        <f>COUNTIF([1]Regions!$D$3:$D$30,BillionEURNEWAGE!$B1041)&gt;0</f>
        <v>#VALUE!</v>
      </c>
      <c r="B1041" s="33" t="s">
        <v>2247</v>
      </c>
      <c r="C1041" s="33" t="s">
        <v>2254</v>
      </c>
      <c r="D1041" s="33" t="s">
        <v>421</v>
      </c>
      <c r="E1041" s="33">
        <v>1.1696527470531799</v>
      </c>
    </row>
    <row r="1042" spans="1:5" hidden="1">
      <c r="A1042" s="33" t="e">
        <f>COUNTIF([1]Regions!$D$3:$D$30,BillionEURNEWAGE!$B1042)&gt;0</f>
        <v>#VALUE!</v>
      </c>
      <c r="B1042" s="33" t="s">
        <v>2247</v>
      </c>
      <c r="C1042" s="33" t="s">
        <v>2254</v>
      </c>
      <c r="D1042" s="33" t="s">
        <v>423</v>
      </c>
      <c r="E1042" s="33">
        <v>4.1432155241955503E-2</v>
      </c>
    </row>
    <row r="1043" spans="1:5" hidden="1">
      <c r="A1043" s="33" t="e">
        <f>COUNTIF([1]Regions!$D$3:$D$30,BillionEURNEWAGE!$B1043)&gt;0</f>
        <v>#VALUE!</v>
      </c>
      <c r="B1043" s="33" t="s">
        <v>2247</v>
      </c>
      <c r="C1043" s="33" t="s">
        <v>2254</v>
      </c>
      <c r="D1043" s="33" t="s">
        <v>425</v>
      </c>
      <c r="E1043" s="34">
        <v>6.03310860391544E-5</v>
      </c>
    </row>
    <row r="1044" spans="1:5" hidden="1">
      <c r="A1044" s="33" t="e">
        <f>COUNTIF([1]Regions!$D$3:$D$30,BillionEURNEWAGE!$B1044)&gt;0</f>
        <v>#VALUE!</v>
      </c>
      <c r="B1044" s="33" t="s">
        <v>2247</v>
      </c>
      <c r="C1044" s="33" t="s">
        <v>2254</v>
      </c>
      <c r="D1044" s="33" t="s">
        <v>427</v>
      </c>
      <c r="E1044" s="33">
        <v>0.124850581523865</v>
      </c>
    </row>
    <row r="1045" spans="1:5" hidden="1">
      <c r="A1045" s="33" t="e">
        <f>COUNTIF([1]Regions!$D$3:$D$30,BillionEURNEWAGE!$B1045)&gt;0</f>
        <v>#VALUE!</v>
      </c>
      <c r="B1045" s="33" t="s">
        <v>2247</v>
      </c>
      <c r="C1045" s="33" t="s">
        <v>2254</v>
      </c>
      <c r="D1045" s="33" t="s">
        <v>429</v>
      </c>
      <c r="E1045" s="33">
        <v>1.5247283446003499E-3</v>
      </c>
    </row>
    <row r="1046" spans="1:5" hidden="1">
      <c r="A1046" s="33" t="e">
        <f>COUNTIF([1]Regions!$D$3:$D$30,BillionEURNEWAGE!$B1046)&gt;0</f>
        <v>#VALUE!</v>
      </c>
      <c r="B1046" s="33" t="s">
        <v>2247</v>
      </c>
      <c r="C1046" s="33" t="s">
        <v>2254</v>
      </c>
      <c r="D1046" s="33" t="s">
        <v>430</v>
      </c>
      <c r="E1046" s="33">
        <v>2.43148331613193</v>
      </c>
    </row>
    <row r="1047" spans="1:5" hidden="1">
      <c r="A1047" s="33" t="e">
        <f>COUNTIF([1]Regions!$D$3:$D$30,BillionEURNEWAGE!$B1047)&gt;0</f>
        <v>#VALUE!</v>
      </c>
      <c r="B1047" s="33" t="s">
        <v>2248</v>
      </c>
      <c r="C1047" s="33" t="s">
        <v>2254</v>
      </c>
      <c r="D1047" s="33" t="s">
        <v>401</v>
      </c>
      <c r="E1047" s="34">
        <v>1.23286931359387E-5</v>
      </c>
    </row>
    <row r="1048" spans="1:5" hidden="1">
      <c r="A1048" s="33" t="e">
        <f>COUNTIF([1]Regions!$D$3:$D$30,BillionEURNEWAGE!$B1048)&gt;0</f>
        <v>#VALUE!</v>
      </c>
      <c r="B1048" s="33" t="s">
        <v>2248</v>
      </c>
      <c r="C1048" s="33" t="s">
        <v>2254</v>
      </c>
      <c r="D1048" s="33" t="s">
        <v>404</v>
      </c>
      <c r="E1048" s="34">
        <v>6.7492214977334501E-5</v>
      </c>
    </row>
    <row r="1049" spans="1:5" hidden="1">
      <c r="A1049" s="33" t="e">
        <f>COUNTIF([1]Regions!$D$3:$D$30,BillionEURNEWAGE!$B1049)&gt;0</f>
        <v>#VALUE!</v>
      </c>
      <c r="B1049" s="33" t="s">
        <v>2248</v>
      </c>
      <c r="C1049" s="33" t="s">
        <v>2254</v>
      </c>
      <c r="D1049" s="33" t="s">
        <v>406</v>
      </c>
      <c r="E1049" s="34">
        <v>2.2846611376495001E-6</v>
      </c>
    </row>
    <row r="1050" spans="1:5" hidden="1">
      <c r="A1050" s="33" t="e">
        <f>COUNTIF([1]Regions!$D$3:$D$30,BillionEURNEWAGE!$B1050)&gt;0</f>
        <v>#VALUE!</v>
      </c>
      <c r="B1050" s="33" t="s">
        <v>2248</v>
      </c>
      <c r="C1050" s="33" t="s">
        <v>2254</v>
      </c>
      <c r="D1050" s="33" t="s">
        <v>410</v>
      </c>
      <c r="E1050" s="34">
        <v>6.1322900819910805E-5</v>
      </c>
    </row>
    <row r="1051" spans="1:5" hidden="1">
      <c r="A1051" s="33" t="e">
        <f>COUNTIF([1]Regions!$D$3:$D$30,BillionEURNEWAGE!$B1051)&gt;0</f>
        <v>#VALUE!</v>
      </c>
      <c r="B1051" s="33" t="s">
        <v>2248</v>
      </c>
      <c r="C1051" s="33" t="s">
        <v>2254</v>
      </c>
      <c r="D1051" s="33" t="s">
        <v>416</v>
      </c>
      <c r="E1051" s="33">
        <v>7.8730900211954696E-2</v>
      </c>
    </row>
    <row r="1052" spans="1:5" hidden="1">
      <c r="A1052" s="33" t="e">
        <f>COUNTIF([1]Regions!$D$3:$D$30,BillionEURNEWAGE!$B1052)&gt;0</f>
        <v>#VALUE!</v>
      </c>
      <c r="B1052" s="33" t="s">
        <v>2248</v>
      </c>
      <c r="C1052" s="33" t="s">
        <v>2254</v>
      </c>
      <c r="D1052" s="33" t="s">
        <v>420</v>
      </c>
      <c r="E1052" s="33">
        <v>5.0425142498056004E-3</v>
      </c>
    </row>
    <row r="1053" spans="1:5" hidden="1">
      <c r="A1053" s="33" t="e">
        <f>COUNTIF([1]Regions!$D$3:$D$30,BillionEURNEWAGE!$B1053)&gt;0</f>
        <v>#VALUE!</v>
      </c>
      <c r="B1053" s="33" t="s">
        <v>2248</v>
      </c>
      <c r="C1053" s="33" t="s">
        <v>2254</v>
      </c>
      <c r="D1053" s="33" t="s">
        <v>421</v>
      </c>
      <c r="E1053" s="33">
        <v>2.6677086872950802E-3</v>
      </c>
    </row>
    <row r="1054" spans="1:5" hidden="1">
      <c r="A1054" s="33" t="e">
        <f>COUNTIF([1]Regions!$D$3:$D$30,BillionEURNEWAGE!$B1054)&gt;0</f>
        <v>#VALUE!</v>
      </c>
      <c r="B1054" s="33" t="s">
        <v>2248</v>
      </c>
      <c r="C1054" s="33" t="s">
        <v>2254</v>
      </c>
      <c r="D1054" s="33" t="s">
        <v>423</v>
      </c>
      <c r="E1054" s="33">
        <v>1.0558044433119199E-2</v>
      </c>
    </row>
    <row r="1055" spans="1:5" hidden="1">
      <c r="A1055" s="33" t="e">
        <f>COUNTIF([1]Regions!$D$3:$D$30,BillionEURNEWAGE!$B1055)&gt;0</f>
        <v>#VALUE!</v>
      </c>
      <c r="B1055" s="33" t="s">
        <v>2248</v>
      </c>
      <c r="C1055" s="33" t="s">
        <v>2254</v>
      </c>
      <c r="D1055" s="33" t="s">
        <v>427</v>
      </c>
      <c r="E1055" s="33">
        <v>3.9976384288373601E-3</v>
      </c>
    </row>
    <row r="1056" spans="1:5" hidden="1">
      <c r="A1056" s="33" t="e">
        <f>COUNTIF([1]Regions!$D$3:$D$30,BillionEURNEWAGE!$B1056)&gt;0</f>
        <v>#VALUE!</v>
      </c>
      <c r="B1056" s="33" t="s">
        <v>2248</v>
      </c>
      <c r="C1056" s="33" t="s">
        <v>2254</v>
      </c>
      <c r="D1056" s="33" t="s">
        <v>429</v>
      </c>
      <c r="E1056" s="33">
        <v>1.99057387678737E-3</v>
      </c>
    </row>
    <row r="1057" spans="1:5" hidden="1">
      <c r="A1057" s="33" t="e">
        <f>COUNTIF([1]Regions!$D$3:$D$30,BillionEURNEWAGE!$B1057)&gt;0</f>
        <v>#VALUE!</v>
      </c>
      <c r="B1057" s="33" t="s">
        <v>2248</v>
      </c>
      <c r="C1057" s="33" t="s">
        <v>2254</v>
      </c>
      <c r="D1057" s="33" t="s">
        <v>430</v>
      </c>
      <c r="E1057" s="33">
        <v>0.74536184155129803</v>
      </c>
    </row>
    <row r="1058" spans="1:5" hidden="1">
      <c r="A1058" s="33" t="e">
        <f>COUNTIF([1]Regions!$D$3:$D$30,BillionEURNEWAGE!$B1058)&gt;0</f>
        <v>#VALUE!</v>
      </c>
      <c r="B1058" s="33" t="s">
        <v>2249</v>
      </c>
      <c r="C1058" s="33" t="s">
        <v>2254</v>
      </c>
      <c r="D1058" s="33" t="s">
        <v>401</v>
      </c>
      <c r="E1058" s="34">
        <v>1.9264956467819501E-5</v>
      </c>
    </row>
    <row r="1059" spans="1:5" hidden="1">
      <c r="A1059" s="33" t="e">
        <f>COUNTIF([1]Regions!$D$3:$D$30,BillionEURNEWAGE!$B1059)&gt;0</f>
        <v>#VALUE!</v>
      </c>
      <c r="B1059" s="33" t="s">
        <v>2249</v>
      </c>
      <c r="C1059" s="33" t="s">
        <v>2254</v>
      </c>
      <c r="D1059" s="33" t="s">
        <v>402</v>
      </c>
      <c r="E1059" s="34">
        <v>3.3720123446532601E-5</v>
      </c>
    </row>
    <row r="1060" spans="1:5" hidden="1">
      <c r="A1060" s="33" t="e">
        <f>COUNTIF([1]Regions!$D$3:$D$30,BillionEURNEWAGE!$B1060)&gt;0</f>
        <v>#VALUE!</v>
      </c>
      <c r="B1060" s="33" t="s">
        <v>2249</v>
      </c>
      <c r="C1060" s="33" t="s">
        <v>2254</v>
      </c>
      <c r="D1060" s="33" t="s">
        <v>404</v>
      </c>
      <c r="E1060" s="33">
        <v>7.4299085820584104E-4</v>
      </c>
    </row>
    <row r="1061" spans="1:5" hidden="1">
      <c r="A1061" s="33" t="e">
        <f>COUNTIF([1]Regions!$D$3:$D$30,BillionEURNEWAGE!$B1061)&gt;0</f>
        <v>#VALUE!</v>
      </c>
      <c r="B1061" s="33" t="s">
        <v>2249</v>
      </c>
      <c r="C1061" s="33" t="s">
        <v>2254</v>
      </c>
      <c r="D1061" s="33" t="s">
        <v>406</v>
      </c>
      <c r="E1061" s="33">
        <v>3.2694367089987499E-4</v>
      </c>
    </row>
    <row r="1062" spans="1:5" hidden="1">
      <c r="A1062" s="33" t="e">
        <f>COUNTIF([1]Regions!$D$3:$D$30,BillionEURNEWAGE!$B1062)&gt;0</f>
        <v>#VALUE!</v>
      </c>
      <c r="B1062" s="33" t="s">
        <v>2249</v>
      </c>
      <c r="C1062" s="33" t="s">
        <v>2254</v>
      </c>
      <c r="D1062" s="33" t="s">
        <v>408</v>
      </c>
      <c r="E1062" s="34">
        <v>1.8369830233615299E-5</v>
      </c>
    </row>
    <row r="1063" spans="1:5" hidden="1">
      <c r="A1063" s="33" t="e">
        <f>COUNTIF([1]Regions!$D$3:$D$30,BillionEURNEWAGE!$B1063)&gt;0</f>
        <v>#VALUE!</v>
      </c>
      <c r="B1063" s="33" t="s">
        <v>2249</v>
      </c>
      <c r="C1063" s="33" t="s">
        <v>2254</v>
      </c>
      <c r="D1063" s="33" t="s">
        <v>410</v>
      </c>
      <c r="E1063" s="33">
        <v>3.2257152881961298E-3</v>
      </c>
    </row>
    <row r="1064" spans="1:5" hidden="1">
      <c r="A1064" s="33" t="e">
        <f>COUNTIF([1]Regions!$D$3:$D$30,BillionEURNEWAGE!$B1064)&gt;0</f>
        <v>#VALUE!</v>
      </c>
      <c r="B1064" s="33" t="s">
        <v>2249</v>
      </c>
      <c r="C1064" s="33" t="s">
        <v>2254</v>
      </c>
      <c r="D1064" s="33" t="s">
        <v>411</v>
      </c>
      <c r="E1064" s="34">
        <v>6.8695315251777701E-6</v>
      </c>
    </row>
    <row r="1065" spans="1:5" hidden="1">
      <c r="A1065" s="33" t="e">
        <f>COUNTIF([1]Regions!$D$3:$D$30,BillionEURNEWAGE!$B1065)&gt;0</f>
        <v>#VALUE!</v>
      </c>
      <c r="B1065" s="33" t="s">
        <v>2249</v>
      </c>
      <c r="C1065" s="33" t="s">
        <v>2254</v>
      </c>
      <c r="D1065" s="33" t="s">
        <v>413</v>
      </c>
      <c r="E1065" s="34">
        <v>4.2476168888826899E-5</v>
      </c>
    </row>
    <row r="1066" spans="1:5" hidden="1">
      <c r="A1066" s="33" t="e">
        <f>COUNTIF([1]Regions!$D$3:$D$30,BillionEURNEWAGE!$B1066)&gt;0</f>
        <v>#VALUE!</v>
      </c>
      <c r="B1066" s="33" t="s">
        <v>2249</v>
      </c>
      <c r="C1066" s="33" t="s">
        <v>2254</v>
      </c>
      <c r="D1066" s="33" t="s">
        <v>416</v>
      </c>
      <c r="E1066" s="33">
        <v>0.174677415296635</v>
      </c>
    </row>
    <row r="1067" spans="1:5" hidden="1">
      <c r="A1067" s="33" t="e">
        <f>COUNTIF([1]Regions!$D$3:$D$30,BillionEURNEWAGE!$B1067)&gt;0</f>
        <v>#VALUE!</v>
      </c>
      <c r="B1067" s="33" t="s">
        <v>2249</v>
      </c>
      <c r="C1067" s="33" t="s">
        <v>2254</v>
      </c>
      <c r="D1067" s="33" t="s">
        <v>418</v>
      </c>
      <c r="E1067" s="34">
        <v>7.4939761138458003E-6</v>
      </c>
    </row>
    <row r="1068" spans="1:5" hidden="1">
      <c r="A1068" s="33" t="e">
        <f>COUNTIF([1]Regions!$D$3:$D$30,BillionEURNEWAGE!$B1068)&gt;0</f>
        <v>#VALUE!</v>
      </c>
      <c r="B1068" s="33" t="s">
        <v>2249</v>
      </c>
      <c r="C1068" s="33" t="s">
        <v>2254</v>
      </c>
      <c r="D1068" s="33" t="s">
        <v>420</v>
      </c>
      <c r="E1068" s="33">
        <v>3.5511986705929699E-2</v>
      </c>
    </row>
    <row r="1069" spans="1:5" hidden="1">
      <c r="A1069" s="33" t="e">
        <f>COUNTIF([1]Regions!$D$3:$D$30,BillionEURNEWAGE!$B1069)&gt;0</f>
        <v>#VALUE!</v>
      </c>
      <c r="B1069" s="33" t="s">
        <v>2249</v>
      </c>
      <c r="C1069" s="33" t="s">
        <v>2254</v>
      </c>
      <c r="D1069" s="33" t="s">
        <v>421</v>
      </c>
      <c r="E1069" s="33">
        <v>5.4116961644259101E-3</v>
      </c>
    </row>
    <row r="1070" spans="1:5" hidden="1">
      <c r="A1070" s="33" t="e">
        <f>COUNTIF([1]Regions!$D$3:$D$30,BillionEURNEWAGE!$B1070)&gt;0</f>
        <v>#VALUE!</v>
      </c>
      <c r="B1070" s="33" t="s">
        <v>2249</v>
      </c>
      <c r="C1070" s="33" t="s">
        <v>2254</v>
      </c>
      <c r="D1070" s="33" t="s">
        <v>423</v>
      </c>
      <c r="E1070" s="33">
        <v>1.81029422325477E-2</v>
      </c>
    </row>
    <row r="1071" spans="1:5" hidden="1">
      <c r="A1071" s="33" t="e">
        <f>COUNTIF([1]Regions!$D$3:$D$30,BillionEURNEWAGE!$B1071)&gt;0</f>
        <v>#VALUE!</v>
      </c>
      <c r="B1071" s="33" t="s">
        <v>2249</v>
      </c>
      <c r="C1071" s="33" t="s">
        <v>2254</v>
      </c>
      <c r="D1071" s="33" t="s">
        <v>425</v>
      </c>
      <c r="E1071" s="33">
        <v>1.83266492144136E-3</v>
      </c>
    </row>
    <row r="1072" spans="1:5" hidden="1">
      <c r="A1072" s="33" t="e">
        <f>COUNTIF([1]Regions!$D$3:$D$30,BillionEURNEWAGE!$B1072)&gt;0</f>
        <v>#VALUE!</v>
      </c>
      <c r="B1072" s="33" t="s">
        <v>2249</v>
      </c>
      <c r="C1072" s="33" t="s">
        <v>2254</v>
      </c>
      <c r="D1072" s="33" t="s">
        <v>427</v>
      </c>
      <c r="E1072" s="33">
        <v>0.42741562484148399</v>
      </c>
    </row>
    <row r="1073" spans="1:5" hidden="1">
      <c r="A1073" s="33" t="e">
        <f>COUNTIF([1]Regions!$D$3:$D$30,BillionEURNEWAGE!$B1073)&gt;0</f>
        <v>#VALUE!</v>
      </c>
      <c r="B1073" s="33" t="s">
        <v>2249</v>
      </c>
      <c r="C1073" s="33" t="s">
        <v>2254</v>
      </c>
      <c r="D1073" s="33" t="s">
        <v>429</v>
      </c>
      <c r="E1073" s="33">
        <v>1.5870212195452801E-2</v>
      </c>
    </row>
    <row r="1074" spans="1:5" hidden="1">
      <c r="A1074" s="33" t="e">
        <f>COUNTIF([1]Regions!$D$3:$D$30,BillionEURNEWAGE!$B1074)&gt;0</f>
        <v>#VALUE!</v>
      </c>
      <c r="B1074" s="33" t="s">
        <v>2249</v>
      </c>
      <c r="C1074" s="33" t="s">
        <v>2254</v>
      </c>
      <c r="D1074" s="33" t="s">
        <v>430</v>
      </c>
      <c r="E1074" s="33">
        <v>6.4233084354246497</v>
      </c>
    </row>
    <row r="1075" spans="1:5" hidden="1">
      <c r="A1075" s="33" t="e">
        <f>COUNTIF([1]Regions!$D$3:$D$30,BillionEURNEWAGE!$B1075)&gt;0</f>
        <v>#VALUE!</v>
      </c>
      <c r="B1075" s="33" t="s">
        <v>2250</v>
      </c>
      <c r="C1075" s="33" t="s">
        <v>2254</v>
      </c>
      <c r="D1075" s="33" t="s">
        <v>401</v>
      </c>
      <c r="E1075" s="34">
        <v>1.8450361593094699E-6</v>
      </c>
    </row>
    <row r="1076" spans="1:5" hidden="1">
      <c r="A1076" s="33" t="e">
        <f>COUNTIF([1]Regions!$D$3:$D$30,BillionEURNEWAGE!$B1076)&gt;0</f>
        <v>#VALUE!</v>
      </c>
      <c r="B1076" s="33" t="s">
        <v>2250</v>
      </c>
      <c r="C1076" s="33" t="s">
        <v>2254</v>
      </c>
      <c r="D1076" s="33" t="s">
        <v>404</v>
      </c>
      <c r="E1076" s="34">
        <v>1.7305447496176299E-5</v>
      </c>
    </row>
    <row r="1077" spans="1:5" hidden="1">
      <c r="A1077" s="33" t="e">
        <f>COUNTIF([1]Regions!$D$3:$D$30,BillionEURNEWAGE!$B1077)&gt;0</f>
        <v>#VALUE!</v>
      </c>
      <c r="B1077" s="33" t="s">
        <v>2250</v>
      </c>
      <c r="C1077" s="33" t="s">
        <v>2254</v>
      </c>
      <c r="D1077" s="33" t="s">
        <v>410</v>
      </c>
      <c r="E1077" s="34">
        <v>5.3527458192527198E-6</v>
      </c>
    </row>
    <row r="1078" spans="1:5" hidden="1">
      <c r="A1078" s="33" t="e">
        <f>COUNTIF([1]Regions!$D$3:$D$30,BillionEURNEWAGE!$B1078)&gt;0</f>
        <v>#VALUE!</v>
      </c>
      <c r="B1078" s="33" t="s">
        <v>2250</v>
      </c>
      <c r="C1078" s="33" t="s">
        <v>2254</v>
      </c>
      <c r="D1078" s="33" t="s">
        <v>416</v>
      </c>
      <c r="E1078" s="33">
        <v>1.7502759809020801E-2</v>
      </c>
    </row>
    <row r="1079" spans="1:5" hidden="1">
      <c r="A1079" s="33" t="e">
        <f>COUNTIF([1]Regions!$D$3:$D$30,BillionEURNEWAGE!$B1079)&gt;0</f>
        <v>#VALUE!</v>
      </c>
      <c r="B1079" s="33" t="s">
        <v>2250</v>
      </c>
      <c r="C1079" s="33" t="s">
        <v>2254</v>
      </c>
      <c r="D1079" s="33" t="s">
        <v>420</v>
      </c>
      <c r="E1079" s="33">
        <v>1.28929659506655E-3</v>
      </c>
    </row>
    <row r="1080" spans="1:5" hidden="1">
      <c r="A1080" s="33" t="e">
        <f>COUNTIF([1]Regions!$D$3:$D$30,BillionEURNEWAGE!$B1080)&gt;0</f>
        <v>#VALUE!</v>
      </c>
      <c r="B1080" s="33" t="s">
        <v>2250</v>
      </c>
      <c r="C1080" s="33" t="s">
        <v>2254</v>
      </c>
      <c r="D1080" s="33" t="s">
        <v>421</v>
      </c>
      <c r="E1080" s="33">
        <v>6.7462874773074096E-4</v>
      </c>
    </row>
    <row r="1081" spans="1:5" hidden="1">
      <c r="A1081" s="33" t="e">
        <f>COUNTIF([1]Regions!$D$3:$D$30,BillionEURNEWAGE!$B1081)&gt;0</f>
        <v>#VALUE!</v>
      </c>
      <c r="B1081" s="33" t="s">
        <v>2250</v>
      </c>
      <c r="C1081" s="33" t="s">
        <v>2254</v>
      </c>
      <c r="D1081" s="33" t="s">
        <v>423</v>
      </c>
      <c r="E1081" s="33">
        <v>1.9809033477174698E-3</v>
      </c>
    </row>
    <row r="1082" spans="1:5" hidden="1">
      <c r="A1082" s="33" t="e">
        <f>COUNTIF([1]Regions!$D$3:$D$30,BillionEURNEWAGE!$B1082)&gt;0</f>
        <v>#VALUE!</v>
      </c>
      <c r="B1082" s="33" t="s">
        <v>2250</v>
      </c>
      <c r="C1082" s="33" t="s">
        <v>2254</v>
      </c>
      <c r="D1082" s="33" t="s">
        <v>427</v>
      </c>
      <c r="E1082" s="33">
        <v>5.6694047772702899E-4</v>
      </c>
    </row>
    <row r="1083" spans="1:5" hidden="1">
      <c r="A1083" s="33" t="e">
        <f>COUNTIF([1]Regions!$D$3:$D$30,BillionEURNEWAGE!$B1083)&gt;0</f>
        <v>#VALUE!</v>
      </c>
      <c r="B1083" s="33" t="s">
        <v>2250</v>
      </c>
      <c r="C1083" s="33" t="s">
        <v>2254</v>
      </c>
      <c r="D1083" s="33" t="s">
        <v>429</v>
      </c>
      <c r="E1083" s="34">
        <v>7.3737349913744195E-5</v>
      </c>
    </row>
    <row r="1084" spans="1:5" hidden="1">
      <c r="A1084" s="33" t="e">
        <f>COUNTIF([1]Regions!$D$3:$D$30,BillionEURNEWAGE!$B1084)&gt;0</f>
        <v>#VALUE!</v>
      </c>
      <c r="B1084" s="33" t="s">
        <v>2250</v>
      </c>
      <c r="C1084" s="33" t="s">
        <v>2254</v>
      </c>
      <c r="D1084" s="33" t="s">
        <v>430</v>
      </c>
      <c r="E1084" s="33">
        <v>0.16683951577716299</v>
      </c>
    </row>
    <row r="1085" spans="1:5" hidden="1">
      <c r="A1085" s="33" t="e">
        <f>COUNTIF([1]Regions!$D$3:$D$30,BillionEURNEWAGE!$B1085)&gt;0</f>
        <v>#VALUE!</v>
      </c>
      <c r="B1085" s="33" t="s">
        <v>2251</v>
      </c>
      <c r="C1085" s="33" t="s">
        <v>2254</v>
      </c>
      <c r="D1085" s="33" t="s">
        <v>401</v>
      </c>
      <c r="E1085" s="34">
        <v>3.3877027495065403E-5</v>
      </c>
    </row>
    <row r="1086" spans="1:5" hidden="1">
      <c r="A1086" s="33" t="e">
        <f>COUNTIF([1]Regions!$D$3:$D$30,BillionEURNEWAGE!$B1086)&gt;0</f>
        <v>#VALUE!</v>
      </c>
      <c r="B1086" s="33" t="s">
        <v>2251</v>
      </c>
      <c r="C1086" s="33" t="s">
        <v>2254</v>
      </c>
      <c r="D1086" s="33" t="s">
        <v>402</v>
      </c>
      <c r="E1086" s="34">
        <v>8.6059033151640702E-7</v>
      </c>
    </row>
    <row r="1087" spans="1:5" hidden="1">
      <c r="A1087" s="33" t="e">
        <f>COUNTIF([1]Regions!$D$3:$D$30,BillionEURNEWAGE!$B1087)&gt;0</f>
        <v>#VALUE!</v>
      </c>
      <c r="B1087" s="33" t="s">
        <v>2251</v>
      </c>
      <c r="C1087" s="33" t="s">
        <v>2254</v>
      </c>
      <c r="D1087" s="33" t="s">
        <v>404</v>
      </c>
      <c r="E1087" s="33">
        <v>0.121374215114252</v>
      </c>
    </row>
    <row r="1088" spans="1:5" hidden="1">
      <c r="A1088" s="33" t="e">
        <f>COUNTIF([1]Regions!$D$3:$D$30,BillionEURNEWAGE!$B1088)&gt;0</f>
        <v>#VALUE!</v>
      </c>
      <c r="B1088" s="33" t="s">
        <v>2251</v>
      </c>
      <c r="C1088" s="33" t="s">
        <v>2254</v>
      </c>
      <c r="D1088" s="33" t="s">
        <v>406</v>
      </c>
      <c r="E1088" s="33">
        <v>0.26520715893868102</v>
      </c>
    </row>
    <row r="1089" spans="1:5" hidden="1">
      <c r="A1089" s="33" t="e">
        <f>COUNTIF([1]Regions!$D$3:$D$30,BillionEURNEWAGE!$B1089)&gt;0</f>
        <v>#VALUE!</v>
      </c>
      <c r="B1089" s="33" t="s">
        <v>2251</v>
      </c>
      <c r="C1089" s="33" t="s">
        <v>2254</v>
      </c>
      <c r="D1089" s="33" t="s">
        <v>408</v>
      </c>
      <c r="E1089" s="33">
        <v>1.6576106012410901</v>
      </c>
    </row>
    <row r="1090" spans="1:5" hidden="1">
      <c r="A1090" s="33" t="e">
        <f>COUNTIF([1]Regions!$D$3:$D$30,BillionEURNEWAGE!$B1090)&gt;0</f>
        <v>#VALUE!</v>
      </c>
      <c r="B1090" s="33" t="s">
        <v>2251</v>
      </c>
      <c r="C1090" s="33" t="s">
        <v>2254</v>
      </c>
      <c r="D1090" s="33" t="s">
        <v>410</v>
      </c>
      <c r="E1090" s="33">
        <v>9.7752040751970899</v>
      </c>
    </row>
    <row r="1091" spans="1:5" hidden="1">
      <c r="A1091" s="33" t="e">
        <f>COUNTIF([1]Regions!$D$3:$D$30,BillionEURNEWAGE!$B1091)&gt;0</f>
        <v>#VALUE!</v>
      </c>
      <c r="B1091" s="33" t="s">
        <v>2251</v>
      </c>
      <c r="C1091" s="33" t="s">
        <v>2254</v>
      </c>
      <c r="D1091" s="33" t="s">
        <v>416</v>
      </c>
      <c r="E1091" s="33">
        <v>1.16454562504821</v>
      </c>
    </row>
    <row r="1092" spans="1:5" hidden="1">
      <c r="A1092" s="33" t="e">
        <f>COUNTIF([1]Regions!$D$3:$D$30,BillionEURNEWAGE!$B1092)&gt;0</f>
        <v>#VALUE!</v>
      </c>
      <c r="B1092" s="33" t="s">
        <v>2251</v>
      </c>
      <c r="C1092" s="33" t="s">
        <v>2254</v>
      </c>
      <c r="D1092" s="33" t="s">
        <v>418</v>
      </c>
      <c r="E1092" s="33">
        <v>0.588486339965266</v>
      </c>
    </row>
    <row r="1093" spans="1:5" hidden="1">
      <c r="A1093" s="33" t="e">
        <f>COUNTIF([1]Regions!$D$3:$D$30,BillionEURNEWAGE!$B1093)&gt;0</f>
        <v>#VALUE!</v>
      </c>
      <c r="B1093" s="33" t="s">
        <v>2251</v>
      </c>
      <c r="C1093" s="33" t="s">
        <v>2254</v>
      </c>
      <c r="D1093" s="33" t="s">
        <v>420</v>
      </c>
      <c r="E1093" s="33">
        <v>7.8583044099363697</v>
      </c>
    </row>
    <row r="1094" spans="1:5" hidden="1">
      <c r="A1094" s="33" t="e">
        <f>COUNTIF([1]Regions!$D$3:$D$30,BillionEURNEWAGE!$B1094)&gt;0</f>
        <v>#VALUE!</v>
      </c>
      <c r="B1094" s="33" t="s">
        <v>2251</v>
      </c>
      <c r="C1094" s="33" t="s">
        <v>2254</v>
      </c>
      <c r="D1094" s="33" t="s">
        <v>421</v>
      </c>
      <c r="E1094" s="33">
        <v>0.616528351368544</v>
      </c>
    </row>
    <row r="1095" spans="1:5" hidden="1">
      <c r="A1095" s="33" t="e">
        <f>COUNTIF([1]Regions!$D$3:$D$30,BillionEURNEWAGE!$B1095)&gt;0</f>
        <v>#VALUE!</v>
      </c>
      <c r="B1095" s="33" t="s">
        <v>2251</v>
      </c>
      <c r="C1095" s="33" t="s">
        <v>2254</v>
      </c>
      <c r="D1095" s="33" t="s">
        <v>423</v>
      </c>
      <c r="E1095" s="33">
        <v>4.8590660330818398</v>
      </c>
    </row>
    <row r="1096" spans="1:5" hidden="1">
      <c r="A1096" s="33" t="e">
        <f>COUNTIF([1]Regions!$D$3:$D$30,BillionEURNEWAGE!$B1096)&gt;0</f>
        <v>#VALUE!</v>
      </c>
      <c r="B1096" s="33" t="s">
        <v>2251</v>
      </c>
      <c r="C1096" s="33" t="s">
        <v>2254</v>
      </c>
      <c r="D1096" s="33" t="s">
        <v>425</v>
      </c>
      <c r="E1096" s="33">
        <v>4.9596747905463596E-4</v>
      </c>
    </row>
    <row r="1097" spans="1:5" hidden="1">
      <c r="A1097" s="33" t="e">
        <f>COUNTIF([1]Regions!$D$3:$D$30,BillionEURNEWAGE!$B1097)&gt;0</f>
        <v>#VALUE!</v>
      </c>
      <c r="B1097" s="33" t="s">
        <v>2251</v>
      </c>
      <c r="C1097" s="33" t="s">
        <v>2254</v>
      </c>
      <c r="D1097" s="33" t="s">
        <v>427</v>
      </c>
      <c r="E1097" s="33">
        <v>0.56021049749301399</v>
      </c>
    </row>
    <row r="1098" spans="1:5" hidden="1">
      <c r="A1098" s="33" t="e">
        <f>COUNTIF([1]Regions!$D$3:$D$30,BillionEURNEWAGE!$B1098)&gt;0</f>
        <v>#VALUE!</v>
      </c>
      <c r="B1098" s="33" t="s">
        <v>2251</v>
      </c>
      <c r="C1098" s="33" t="s">
        <v>2254</v>
      </c>
      <c r="D1098" s="33" t="s">
        <v>429</v>
      </c>
      <c r="E1098" s="33">
        <v>0.121269249188435</v>
      </c>
    </row>
    <row r="1099" spans="1:5" hidden="1">
      <c r="A1099" s="33" t="e">
        <f>COUNTIF([1]Regions!$D$3:$D$30,BillionEURNEWAGE!$B1099)&gt;0</f>
        <v>#VALUE!</v>
      </c>
      <c r="B1099" s="33" t="s">
        <v>2251</v>
      </c>
      <c r="C1099" s="33" t="s">
        <v>2254</v>
      </c>
      <c r="D1099" s="33" t="s">
        <v>430</v>
      </c>
      <c r="E1099" s="33">
        <v>29.2054780802499</v>
      </c>
    </row>
    <row r="1100" spans="1:5" hidden="1">
      <c r="A1100" s="33" t="e">
        <f>COUNTIF([1]Regions!$D$3:$D$30,BillionEURNEWAGE!$B1100)&gt;0</f>
        <v>#VALUE!</v>
      </c>
      <c r="B1100" s="33" t="s">
        <v>2252</v>
      </c>
      <c r="C1100" s="33" t="s">
        <v>2254</v>
      </c>
      <c r="D1100" s="33" t="s">
        <v>401</v>
      </c>
      <c r="E1100" s="33">
        <v>3.8092331922163E-4</v>
      </c>
    </row>
    <row r="1101" spans="1:5" hidden="1">
      <c r="A1101" s="33" t="e">
        <f>COUNTIF([1]Regions!$D$3:$D$30,BillionEURNEWAGE!$B1101)&gt;0</f>
        <v>#VALUE!</v>
      </c>
      <c r="B1101" s="33" t="s">
        <v>2252</v>
      </c>
      <c r="C1101" s="33" t="s">
        <v>2254</v>
      </c>
      <c r="D1101" s="33" t="s">
        <v>402</v>
      </c>
      <c r="E1101" s="34">
        <v>2.6720766795623699E-5</v>
      </c>
    </row>
    <row r="1102" spans="1:5" hidden="1">
      <c r="A1102" s="33" t="e">
        <f>COUNTIF([1]Regions!$D$3:$D$30,BillionEURNEWAGE!$B1102)&gt;0</f>
        <v>#VALUE!</v>
      </c>
      <c r="B1102" s="33" t="s">
        <v>2252</v>
      </c>
      <c r="C1102" s="33" t="s">
        <v>2254</v>
      </c>
      <c r="D1102" s="33" t="s">
        <v>404</v>
      </c>
      <c r="E1102" s="33">
        <v>0.15253393193546699</v>
      </c>
    </row>
    <row r="1103" spans="1:5" hidden="1">
      <c r="A1103" s="33" t="e">
        <f>COUNTIF([1]Regions!$D$3:$D$30,BillionEURNEWAGE!$B1103)&gt;0</f>
        <v>#VALUE!</v>
      </c>
      <c r="B1103" s="33" t="s">
        <v>2252</v>
      </c>
      <c r="C1103" s="33" t="s">
        <v>2254</v>
      </c>
      <c r="D1103" s="33" t="s">
        <v>406</v>
      </c>
      <c r="E1103" s="33">
        <v>0.22893470403763699</v>
      </c>
    </row>
    <row r="1104" spans="1:5" hidden="1">
      <c r="A1104" s="33" t="e">
        <f>COUNTIF([1]Regions!$D$3:$D$30,BillionEURNEWAGE!$B1104)&gt;0</f>
        <v>#VALUE!</v>
      </c>
      <c r="B1104" s="33" t="s">
        <v>2252</v>
      </c>
      <c r="C1104" s="33" t="s">
        <v>2254</v>
      </c>
      <c r="D1104" s="33" t="s">
        <v>408</v>
      </c>
      <c r="E1104" s="33">
        <v>1.8526467183547499E-3</v>
      </c>
    </row>
    <row r="1105" spans="1:5" hidden="1">
      <c r="A1105" s="33" t="e">
        <f>COUNTIF([1]Regions!$D$3:$D$30,BillionEURNEWAGE!$B1105)&gt;0</f>
        <v>#VALUE!</v>
      </c>
      <c r="B1105" s="33" t="s">
        <v>2252</v>
      </c>
      <c r="C1105" s="33" t="s">
        <v>2254</v>
      </c>
      <c r="D1105" s="33" t="s">
        <v>410</v>
      </c>
      <c r="E1105" s="33">
        <v>0.37197488874020301</v>
      </c>
    </row>
    <row r="1106" spans="1:5" hidden="1">
      <c r="A1106" s="33" t="e">
        <f>COUNTIF([1]Regions!$D$3:$D$30,BillionEURNEWAGE!$B1106)&gt;0</f>
        <v>#VALUE!</v>
      </c>
      <c r="B1106" s="33" t="s">
        <v>2252</v>
      </c>
      <c r="C1106" s="33" t="s">
        <v>2254</v>
      </c>
      <c r="D1106" s="33" t="s">
        <v>411</v>
      </c>
      <c r="E1106" s="34">
        <v>1.7747858224097899E-5</v>
      </c>
    </row>
    <row r="1107" spans="1:5" hidden="1">
      <c r="A1107" s="33" t="e">
        <f>COUNTIF([1]Regions!$D$3:$D$30,BillionEURNEWAGE!$B1107)&gt;0</f>
        <v>#VALUE!</v>
      </c>
      <c r="B1107" s="33" t="s">
        <v>2252</v>
      </c>
      <c r="C1107" s="33" t="s">
        <v>2254</v>
      </c>
      <c r="D1107" s="33" t="s">
        <v>416</v>
      </c>
      <c r="E1107" s="33">
        <v>1.6847516666734199</v>
      </c>
    </row>
    <row r="1108" spans="1:5" hidden="1">
      <c r="A1108" s="33" t="e">
        <f>COUNTIF([1]Regions!$D$3:$D$30,BillionEURNEWAGE!$B1108)&gt;0</f>
        <v>#VALUE!</v>
      </c>
      <c r="B1108" s="33" t="s">
        <v>2252</v>
      </c>
      <c r="C1108" s="33" t="s">
        <v>2254</v>
      </c>
      <c r="D1108" s="33" t="s">
        <v>418</v>
      </c>
      <c r="E1108" s="33">
        <v>2.95231342630593E-3</v>
      </c>
    </row>
    <row r="1109" spans="1:5" hidden="1">
      <c r="A1109" s="33" t="e">
        <f>COUNTIF([1]Regions!$D$3:$D$30,BillionEURNEWAGE!$B1109)&gt;0</f>
        <v>#VALUE!</v>
      </c>
      <c r="B1109" s="33" t="s">
        <v>2252</v>
      </c>
      <c r="C1109" s="33" t="s">
        <v>2254</v>
      </c>
      <c r="D1109" s="33" t="s">
        <v>420</v>
      </c>
      <c r="E1109" s="33">
        <v>0.88948687165756102</v>
      </c>
    </row>
    <row r="1110" spans="1:5" hidden="1">
      <c r="A1110" s="33" t="e">
        <f>COUNTIF([1]Regions!$D$3:$D$30,BillionEURNEWAGE!$B1110)&gt;0</f>
        <v>#VALUE!</v>
      </c>
      <c r="B1110" s="33" t="s">
        <v>2252</v>
      </c>
      <c r="C1110" s="33" t="s">
        <v>2254</v>
      </c>
      <c r="D1110" s="33" t="s">
        <v>421</v>
      </c>
      <c r="E1110" s="33">
        <v>0.23878630010329899</v>
      </c>
    </row>
    <row r="1111" spans="1:5" hidden="1">
      <c r="A1111" s="33" t="e">
        <f>COUNTIF([1]Regions!$D$3:$D$30,BillionEURNEWAGE!$B1111)&gt;0</f>
        <v>#VALUE!</v>
      </c>
      <c r="B1111" s="33" t="s">
        <v>2252</v>
      </c>
      <c r="C1111" s="33" t="s">
        <v>2254</v>
      </c>
      <c r="D1111" s="33" t="s">
        <v>423</v>
      </c>
      <c r="E1111" s="33">
        <v>0.37661365544426301</v>
      </c>
    </row>
    <row r="1112" spans="1:5" hidden="1">
      <c r="A1112" s="33" t="e">
        <f>COUNTIF([1]Regions!$D$3:$D$30,BillionEURNEWAGE!$B1112)&gt;0</f>
        <v>#VALUE!</v>
      </c>
      <c r="B1112" s="33" t="s">
        <v>2252</v>
      </c>
      <c r="C1112" s="33" t="s">
        <v>2254</v>
      </c>
      <c r="D1112" s="33" t="s">
        <v>425</v>
      </c>
      <c r="E1112" s="33">
        <v>1.9920323060027799E-3</v>
      </c>
    </row>
    <row r="1113" spans="1:5" hidden="1">
      <c r="A1113" s="33" t="e">
        <f>COUNTIF([1]Regions!$D$3:$D$30,BillionEURNEWAGE!$B1113)&gt;0</f>
        <v>#VALUE!</v>
      </c>
      <c r="B1113" s="33" t="s">
        <v>2252</v>
      </c>
      <c r="C1113" s="33" t="s">
        <v>2254</v>
      </c>
      <c r="D1113" s="33" t="s">
        <v>427</v>
      </c>
      <c r="E1113" s="33">
        <v>0.379539405658262</v>
      </c>
    </row>
    <row r="1114" spans="1:5" hidden="1">
      <c r="A1114" s="33" t="e">
        <f>COUNTIF([1]Regions!$D$3:$D$30,BillionEURNEWAGE!$B1114)&gt;0</f>
        <v>#VALUE!</v>
      </c>
      <c r="B1114" s="33" t="s">
        <v>2252</v>
      </c>
      <c r="C1114" s="33" t="s">
        <v>2254</v>
      </c>
      <c r="D1114" s="33" t="s">
        <v>429</v>
      </c>
      <c r="E1114" s="33">
        <v>0.191077753458856</v>
      </c>
    </row>
    <row r="1115" spans="1:5" hidden="1">
      <c r="A1115" s="33" t="e">
        <f>COUNTIF([1]Regions!$D$3:$D$30,BillionEURNEWAGE!$B1115)&gt;0</f>
        <v>#VALUE!</v>
      </c>
      <c r="B1115" s="33" t="s">
        <v>2252</v>
      </c>
      <c r="C1115" s="33" t="s">
        <v>2254</v>
      </c>
      <c r="D1115" s="33" t="s">
        <v>430</v>
      </c>
      <c r="E1115" s="33">
        <v>12.881949943978</v>
      </c>
    </row>
  </sheetData>
  <autoFilter ref="A3:E1115">
    <filterColumn colId="2">
      <filters>
        <filter val="HH-Dom"/>
        <filter val="HH-Imp"/>
      </filters>
    </filterColumn>
  </autoFilter>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045B65B-B23C-41F6-A510-E52D933E6D40}"/>
</file>

<file path=customXml/itemProps2.xml><?xml version="1.0" encoding="utf-8"?>
<ds:datastoreItem xmlns:ds="http://schemas.openxmlformats.org/officeDocument/2006/customXml" ds:itemID="{A51D7592-A863-4C85-9D39-D0F9C3B1EFEE}"/>
</file>

<file path=customXml/itemProps3.xml><?xml version="1.0" encoding="utf-8"?>
<ds:datastoreItem xmlns:ds="http://schemas.openxmlformats.org/officeDocument/2006/customXml" ds:itemID="{E8CE021E-282B-4121-8CEB-BE4BDCF52EB1}"/>
</file>

<file path=docProps/app.xml><?xml version="1.0" encoding="utf-8"?>
<Properties xmlns="http://schemas.openxmlformats.org/officeDocument/2006/extended-properties" xmlns:vt="http://schemas.openxmlformats.org/officeDocument/2006/docPropsVTypes">
  <Application>Microsoft Excel Web App</Application>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VL</cp:lastModifiedBy>
  <dcterms:created xsi:type="dcterms:W3CDTF">2018-11-20T12:55:37Z</dcterms:created>
  <dcterms:modified xsi:type="dcterms:W3CDTF">2019-03-01T13:21:16Z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